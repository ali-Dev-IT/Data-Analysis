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filterPrivacy="1" codeName="ThisWorkbook" defaultThemeVersion="124226"/>
  <xr:revisionPtr revIDLastSave="0" documentId="13_ncr:1_{3FF686AC-D546-4B3B-9FF6-30136B652146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Categories" sheetId="34" r:id="rId9"/>
    <sheet name="2.2 P&amp;L statement" sheetId="21" r:id="rId10"/>
    <sheet name="3. Charts" sheetId="24" r:id="rId11"/>
    <sheet name="Stacked column" sheetId="29" r:id="rId12"/>
    <sheet name="Dougnut chart" sheetId="28" r:id="rId13"/>
    <sheet name="Area chart" sheetId="26" r:id="rId14"/>
    <sheet name="Bridge Chart" sheetId="27" r:id="rId15"/>
  </sheets>
  <definedNames>
    <definedName name="_xlnm._FilterDatabase" localSheetId="3" hidden="1">'1.1 FY2016'!$B$4:$F$61</definedName>
    <definedName name="_xlnm._FilterDatabase" localSheetId="4" hidden="1">'1.2 FY2017'!$B$4:$F$86</definedName>
    <definedName name="_xlnm._FilterDatabase" localSheetId="5" hidden="1">'1.3 FY2018'!$B$4:$F$78</definedName>
    <definedName name="_xlchart.v1.0" hidden="1">'Bridge Chart'!$B$3:$B$7</definedName>
    <definedName name="_xlchart.v1.1" hidden="1">'Bridge Chart'!$C$3:$C$7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" i="27" l="1"/>
  <c r="C7" i="27"/>
  <c r="C6" i="27"/>
  <c r="C5" i="27"/>
  <c r="C4" i="27"/>
  <c r="C3" i="27"/>
  <c r="E5" i="26" l="1"/>
  <c r="D5" i="26"/>
  <c r="C5" i="26"/>
  <c r="E6" i="28"/>
  <c r="D6" i="28"/>
  <c r="C6" i="28"/>
  <c r="E5" i="28"/>
  <c r="D5" i="28"/>
  <c r="C5" i="28"/>
  <c r="E4" i="28"/>
  <c r="D4" i="28"/>
  <c r="C4" i="28"/>
  <c r="D7" i="29" l="1"/>
  <c r="E7" i="29"/>
  <c r="C7" i="29"/>
  <c r="D6" i="29"/>
  <c r="E6" i="29"/>
  <c r="C6" i="29"/>
  <c r="D5" i="29"/>
  <c r="E5" i="29"/>
  <c r="C5" i="29"/>
  <c r="D4" i="29"/>
  <c r="E4" i="29"/>
  <c r="C4" i="29"/>
  <c r="D29" i="21"/>
  <c r="E29" i="21"/>
  <c r="D28" i="21"/>
  <c r="E28" i="21"/>
  <c r="C29" i="21"/>
  <c r="C28" i="21"/>
  <c r="D27" i="21"/>
  <c r="E27" i="21"/>
  <c r="C27" i="21"/>
  <c r="G5" i="21"/>
  <c r="H5" i="21"/>
  <c r="G6" i="21"/>
  <c r="H6" i="21"/>
  <c r="G7" i="21"/>
  <c r="H7" i="21"/>
  <c r="G8" i="21"/>
  <c r="H8" i="21"/>
  <c r="G9" i="21"/>
  <c r="H9" i="21"/>
  <c r="G10" i="21"/>
  <c r="H10" i="21"/>
  <c r="G11" i="21"/>
  <c r="H11" i="21"/>
  <c r="G12" i="21"/>
  <c r="H12" i="21"/>
  <c r="G13" i="21"/>
  <c r="H13" i="21"/>
  <c r="G14" i="21"/>
  <c r="H14" i="21"/>
  <c r="G15" i="21"/>
  <c r="H15" i="21"/>
  <c r="G16" i="21"/>
  <c r="H16" i="21"/>
  <c r="G17" i="21"/>
  <c r="H17" i="21"/>
  <c r="G18" i="21"/>
  <c r="H18" i="21"/>
  <c r="G19" i="21"/>
  <c r="H19" i="21"/>
  <c r="G20" i="21"/>
  <c r="H20" i="21"/>
  <c r="G21" i="21"/>
  <c r="H21" i="21"/>
  <c r="G22" i="21"/>
  <c r="H22" i="21"/>
  <c r="G23" i="21"/>
  <c r="H23" i="21"/>
  <c r="G24" i="21"/>
  <c r="H24" i="21"/>
  <c r="H4" i="21"/>
  <c r="G4" i="21"/>
  <c r="C96" i="10" l="1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95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D4" i="10"/>
  <c r="H4" i="10"/>
  <c r="H5" i="10"/>
  <c r="E5" i="21" s="1"/>
  <c r="H6" i="10"/>
  <c r="H7" i="10"/>
  <c r="H8" i="10"/>
  <c r="H9" i="10"/>
  <c r="H10" i="10"/>
  <c r="E8" i="21" s="1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E23" i="21" s="1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G4" i="10"/>
  <c r="G5" i="10"/>
  <c r="D5" i="21" s="1"/>
  <c r="G6" i="10"/>
  <c r="G7" i="10"/>
  <c r="G8" i="10"/>
  <c r="G9" i="10"/>
  <c r="G10" i="10"/>
  <c r="D8" i="21" s="1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F4" i="10"/>
  <c r="F5" i="10"/>
  <c r="C5" i="21" s="1"/>
  <c r="F6" i="10"/>
  <c r="F7" i="10"/>
  <c r="F8" i="10"/>
  <c r="F9" i="10"/>
  <c r="F10" i="10"/>
  <c r="C8" i="21" s="1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95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C21" i="21" l="1"/>
  <c r="C6" i="21"/>
  <c r="C4" i="21"/>
  <c r="C7" i="21" s="1"/>
  <c r="C9" i="21" s="1"/>
  <c r="D23" i="21"/>
  <c r="D20" i="21"/>
  <c r="D12" i="21"/>
  <c r="D15" i="21"/>
  <c r="E13" i="21"/>
  <c r="E18" i="21"/>
  <c r="E11" i="21"/>
  <c r="E16" i="21"/>
  <c r="C14" i="21"/>
  <c r="C10" i="21"/>
  <c r="D21" i="21"/>
  <c r="D6" i="21"/>
  <c r="D4" i="21"/>
  <c r="E20" i="21"/>
  <c r="E12" i="21"/>
  <c r="E15" i="21"/>
  <c r="C13" i="21"/>
  <c r="C18" i="21"/>
  <c r="C11" i="21"/>
  <c r="C16" i="21"/>
  <c r="D14" i="21"/>
  <c r="D10" i="21"/>
  <c r="E21" i="21"/>
  <c r="E6" i="21"/>
  <c r="E4" i="21"/>
  <c r="C23" i="21"/>
  <c r="C20" i="21"/>
  <c r="C12" i="21"/>
  <c r="C15" i="21"/>
  <c r="D13" i="21"/>
  <c r="D18" i="21"/>
  <c r="D11" i="21"/>
  <c r="D16" i="21"/>
  <c r="E14" i="21"/>
  <c r="E10" i="21"/>
  <c r="E7" i="21"/>
  <c r="E9" i="21" s="1"/>
  <c r="D7" i="21"/>
  <c r="D9" i="21" s="1"/>
  <c r="C17" i="21" l="1"/>
  <c r="C19" i="21" s="1"/>
  <c r="C22" i="21" s="1"/>
  <c r="C24" i="21" s="1"/>
  <c r="E17" i="21"/>
  <c r="E19" i="21" s="1"/>
  <c r="E22" i="21" s="1"/>
  <c r="E24" i="21" s="1"/>
  <c r="D17" i="21"/>
  <c r="D19" i="21" s="1"/>
  <c r="D22" i="21" s="1"/>
  <c r="D24" i="21" s="1"/>
</calcChain>
</file>

<file path=xl/sharedStrings.xml><?xml version="1.0" encoding="utf-8"?>
<sst xmlns="http://schemas.openxmlformats.org/spreadsheetml/2006/main" count="1050" uniqueCount="265">
  <si>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</si>
  <si>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</si>
  <si>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</si>
  <si>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</si>
  <si>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</si>
  <si>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</si>
  <si>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</si>
  <si>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</si>
  <si>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</si>
  <si>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</si>
  <si>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</si>
  <si>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</si>
  <si>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</si>
  <si>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</si>
  <si>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</si>
  <si>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</si>
  <si>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</si>
  <si>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</si>
  <si>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</si>
  <si>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</si>
  <si>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</si>
  <si>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</si>
  <si>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</si>
  <si>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</si>
  <si>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</si>
  <si>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</si>
  <si>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</si>
  <si>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</si>
  <si>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</si>
  <si>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</si>
  <si>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</si>
  <si>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</si>
  <si>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</si>
  <si>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</si>
  <si>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</si>
  <si>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</si>
  <si>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</si>
  <si>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</si>
  <si>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</si>
  <si>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</si>
  <si>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</si>
  <si>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</si>
  <si>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</si>
  <si>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</si>
  <si>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</si>
  <si>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</si>
  <si>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</si>
  <si>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</si>
  <si>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</si>
  <si>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</si>
  <si>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</si>
  <si>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</si>
  <si>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</si>
  <si>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</si>
  <si>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</si>
  <si>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</si>
  <si>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</si>
  <si>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</si>
  <si>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</si>
  <si>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</si>
  <si>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</si>
  <si>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</si>
  <si>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</si>
  <si>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</si>
  <si>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</si>
  <si>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</si>
  <si>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</si>
  <si>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</si>
  <si>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</si>
  <si>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</si>
  <si>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</si>
  <si>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</si>
  <si>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</si>
  <si>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</si>
  <si>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</si>
  <si>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</si>
  <si>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</si>
  <si>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</si>
  <si>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</si>
  <si>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</si>
  <si>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</si>
  <si>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</si>
  <si>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</si>
  <si>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</si>
  <si>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</si>
  <si>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</si>
  <si>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</si>
  <si>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</si>
  <si>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</si>
  <si>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</si>
  <si>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</si>
  <si>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</si>
  <si>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</si>
  <si>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</si>
  <si>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</si>
  <si>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</si>
  <si>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</si>
  <si>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</si>
  <si>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</si>
  <si>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</si>
  <si>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</si>
  <si>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</si>
  <si>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</si>
  <si>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</si>
  <si>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</si>
  <si>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</si>
  <si>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</si>
  <si>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</si>
  <si>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</si>
  <si>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</si>
  <si>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</si>
  <si>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</si>
  <si>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</si>
  <si>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</si>
  <si>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</si>
  <si>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</si>
  <si>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</si>
  <si>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</si>
  <si>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</si>
  <si>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</si>
  <si>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</si>
  <si>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</si>
  <si>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</si>
  <si>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</si>
  <si>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</si>
  <si>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</si>
  <si>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</si>
  <si>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</si>
  <si>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</si>
  <si>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</si>
  <si>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</si>
  <si>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</si>
  <si>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</si>
  <si>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</si>
  <si>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</si>
  <si>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</si>
  <si>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</si>
  <si>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</si>
  <si>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</si>
  <si>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</si>
  <si>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</si>
  <si>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</si>
  <si>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</si>
  <si>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</si>
  <si>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</si>
  <si>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</si>
  <si>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</si>
  <si>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</si>
  <si>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</si>
  <si>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</si>
  <si>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</si>
  <si>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</si>
  <si>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</si>
  <si>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</si>
  <si>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</si>
  <si>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</si>
  <si>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</si>
  <si>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</si>
  <si>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</si>
  <si>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</si>
  <si>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</si>
  <si>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</si>
  <si>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</si>
  <si>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</si>
  <si>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</si>
  <si>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</si>
  <si>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</si>
  <si>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</si>
  <si>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</si>
  <si>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</si>
  <si>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</si>
  <si>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</si>
  <si>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</si>
  <si>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</si>
  <si>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</si>
  <si>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</si>
  <si>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</si>
  <si>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</si>
  <si>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</si>
  <si>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</si>
  <si>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</si>
  <si>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</si>
  <si>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</si>
  <si>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</si>
  <si>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</si>
  <si>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</si>
  <si>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</si>
  <si>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</si>
  <si>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</si>
  <si>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</si>
  <si>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</si>
  <si>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</si>
  <si>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</si>
  <si>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</si>
  <si>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</si>
  <si>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</si>
  <si>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</si>
  <si>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</si>
  <si>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</si>
  <si>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</si>
  <si>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</si>
  <si>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</si>
  <si>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</si>
  <si>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</si>
  <si>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</si>
  <si>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</si>
  <si>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</si>
  <si>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</si>
  <si>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</si>
  <si>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</si>
  <si>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</si>
  <si>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</si>
  <si>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</si>
  <si>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</si>
  <si>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</si>
  <si>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</si>
  <si>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</si>
  <si>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</si>
  <si>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</si>
  <si>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</si>
  <si>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</si>
  <si>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FY17</t>
  </si>
  <si>
    <t>FY18</t>
  </si>
  <si>
    <t>FY16</t>
  </si>
  <si>
    <t>Net Sales</t>
  </si>
  <si>
    <t>Recharges</t>
  </si>
  <si>
    <t>Other operating expenses</t>
  </si>
  <si>
    <t>Personnel expenses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</si>
  <si>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</si>
  <si>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</si>
  <si>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</si>
  <si>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</si>
  <si>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</si>
  <si>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</si>
  <si>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</si>
  <si>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Mapping</t>
  </si>
  <si>
    <t>Blanks</t>
  </si>
  <si>
    <t>Categories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</si>
  <si>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</si>
  <si>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</si>
  <si>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</si>
  <si>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</si>
  <si>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</si>
  <si>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</si>
  <si>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</si>
  <si>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Var% FY16-FY17</t>
  </si>
  <si>
    <t>Var% FY17-FY18</t>
  </si>
  <si>
    <t>KPIs</t>
  </si>
  <si>
    <t>GM%</t>
  </si>
  <si>
    <t>EBITDA%</t>
  </si>
  <si>
    <t>EBIT%</t>
  </si>
  <si>
    <t>Column stack chart</t>
  </si>
  <si>
    <t>Gross Margin %</t>
  </si>
  <si>
    <t>Dougnut chart</t>
  </si>
  <si>
    <t>Area chart</t>
  </si>
  <si>
    <t>Revenues</t>
  </si>
  <si>
    <t>Bridge chart</t>
  </si>
  <si>
    <t>EBITDA FY17</t>
  </si>
  <si>
    <t>Change in Revenues</t>
  </si>
  <si>
    <t>Change in Variable 
costs</t>
  </si>
  <si>
    <t>Change in Opex</t>
  </si>
  <si>
    <t>EBITDA FY18</t>
  </si>
  <si>
    <t>Check</t>
  </si>
  <si>
    <t>Functions --&gt;</t>
  </si>
  <si>
    <t>Charts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</si>
</sst>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#,##0.00_);[Red]\(#,##0.00\);\-"/>
  </numFmts>
  <fonts count="20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1"/>
      <color rgb="FF002060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2" fillId="0" borderId="0" xfId="0" applyFont="1"/>
    <xf numFmtId="0" fontId="1" fillId="0" borderId="0" xfId="0" applyFont="1"/>
    <xf numFmtId="0" fontId="17" fillId="2" borderId="2" xfId="0" applyFont="1" applyFill="1" applyBorder="1" applyAlignment="1">
      <alignment horizontal="left"/>
    </xf>
    <xf numFmtId="0" fontId="1" fillId="0" borderId="3" xfId="0" applyFont="1" applyBorder="1"/>
    <xf numFmtId="0" fontId="4" fillId="0" borderId="0" xfId="0" applyFont="1"/>
    <xf numFmtId="0" fontId="0" fillId="0" borderId="0" xfId="0" applyFont="1"/>
    <xf numFmtId="0" fontId="4" fillId="0" borderId="2" xfId="0" applyFont="1" applyBorder="1"/>
    <xf numFmtId="0" fontId="4" fillId="0" borderId="2" xfId="0" applyFont="1" applyBorder="1" applyAlignment="1">
      <alignment horizontal="right"/>
    </xf>
    <xf numFmtId="0" fontId="1" fillId="0" borderId="4" xfId="0" applyFont="1" applyBorder="1"/>
    <xf numFmtId="0" fontId="10" fillId="3" borderId="4" xfId="0" applyFont="1" applyFill="1" applyBorder="1"/>
    <xf numFmtId="165" fontId="1" fillId="0" borderId="0" xfId="0" applyNumberFormat="1" applyFont="1" applyAlignment="1">
      <alignment horizontal="right"/>
    </xf>
    <xf numFmtId="165" fontId="18" fillId="0" borderId="4" xfId="0" applyNumberFormat="1" applyFont="1" applyBorder="1" applyAlignment="1">
      <alignment horizontal="right"/>
    </xf>
    <xf numFmtId="165" fontId="10" fillId="3" borderId="4" xfId="0" applyNumberFormat="1" applyFont="1" applyFill="1" applyBorder="1" applyAlignment="1">
      <alignment horizontal="right"/>
    </xf>
    <xf numFmtId="165" fontId="18" fillId="0" borderId="5" xfId="0" applyNumberFormat="1" applyFont="1" applyBorder="1" applyAlignment="1">
      <alignment horizontal="right"/>
    </xf>
    <xf numFmtId="165" fontId="1" fillId="2" borderId="0" xfId="0" applyNumberFormat="1" applyFont="1" applyFill="1"/>
    <xf numFmtId="9" fontId="6" fillId="0" borderId="0" xfId="4" applyFont="1" applyAlignment="1">
      <alignment horizontal="right"/>
    </xf>
    <xf numFmtId="9" fontId="19" fillId="0" borderId="4" xfId="4" applyFont="1" applyBorder="1" applyAlignment="1">
      <alignment horizontal="right"/>
    </xf>
    <xf numFmtId="9" fontId="9" fillId="3" borderId="4" xfId="4" applyFont="1" applyFill="1" applyBorder="1" applyAlignment="1">
      <alignment horizontal="right"/>
    </xf>
    <xf numFmtId="9" fontId="19" fillId="0" borderId="5" xfId="4" applyFont="1" applyBorder="1" applyAlignment="1">
      <alignment horizontal="right"/>
    </xf>
    <xf numFmtId="0" fontId="6" fillId="5" borderId="0" xfId="0" applyFont="1" applyFill="1"/>
    <xf numFmtId="165" fontId="6" fillId="5" borderId="0" xfId="0" applyNumberFormat="1" applyFont="1" applyFill="1" applyAlignment="1">
      <alignment horizontal="right"/>
    </xf>
    <xf numFmtId="9" fontId="6" fillId="5" borderId="0" xfId="4" applyFont="1" applyFill="1" applyAlignment="1">
      <alignment horizontal="right"/>
    </xf>
    <xf numFmtId="0" fontId="18" fillId="0" borderId="5" xfId="0" applyFont="1" applyBorder="1"/>
    <xf numFmtId="0" fontId="4" fillId="0" borderId="0" xfId="0" applyFont="1" applyBorder="1" applyAlignment="1">
      <alignment horizontal="right"/>
    </xf>
    <xf numFmtId="165" fontId="1" fillId="0" borderId="0" xfId="0" applyNumberFormat="1" applyFont="1" applyBorder="1" applyAlignment="1">
      <alignment horizontal="right"/>
    </xf>
    <xf numFmtId="9" fontId="1" fillId="2" borderId="0" xfId="4" applyFont="1" applyFill="1" applyAlignment="1">
      <alignment horizontal="right"/>
    </xf>
    <xf numFmtId="0" fontId="1" fillId="4" borderId="0" xfId="0" applyFont="1" applyFill="1"/>
    <xf numFmtId="165" fontId="1" fillId="4" borderId="0" xfId="0" applyNumberFormat="1" applyFont="1" applyFill="1" applyAlignment="1">
      <alignment horizontal="right"/>
    </xf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5" formatCode="#,##0.00_);[Red]\(#,##0.00\);\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5" formatCode="#,##0.00_);[Red]\(#,##0.00\);\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5" formatCode="#,##0.00_);[Red]\(#,##0.00\);\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</dxf>
    <dxf>
      <border outline="0">
        <bottom style="medium">
          <color rgb="FF00206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00206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border>
        <bottom style="medium">
          <color rgb="FF00206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'Stacked column'!$B$4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column'!$C$4:$E$4</c:f>
              <c:numCache>
                <c:formatCode>#,##0.00_);[Red]\(#,##0.00\);\-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AB-41C4-A694-F90874F6C496}"/>
            </c:ext>
          </c:extLst>
        </c:ser>
        <c:ser>
          <c:idx val="1"/>
          <c:order val="1"/>
          <c:tx>
            <c:strRef>
              <c:f>'Stacked column'!$B$5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column'!$C$5:$E$5</c:f>
              <c:numCache>
                <c:formatCode>#,##0.00_);[Red]\(#,##0.00\);\-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AB-41C4-A694-F90874F6C496}"/>
            </c:ext>
          </c:extLst>
        </c:ser>
        <c:ser>
          <c:idx val="2"/>
          <c:order val="2"/>
          <c:tx>
            <c:strRef>
              <c:f>'Stacked column'!$B$6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column'!$C$6:$E$6</c:f>
              <c:numCache>
                <c:formatCode>#,##0.00_);[Red]\(#,##0.00\);\-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AB-41C4-A694-F90874F6C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50990431"/>
        <c:axId val="2050990847"/>
      </c:barChart>
      <c:lineChart>
        <c:grouping val="standard"/>
        <c:varyColors val="0"/>
        <c:ser>
          <c:idx val="3"/>
          <c:order val="3"/>
          <c:tx>
            <c:strRef>
              <c:f>'Stacked column'!$B$7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column'!$C$7:$E$7</c:f>
              <c:numCache>
                <c:formatCode>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DAB-41C4-A694-F90874F6C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0618543"/>
        <c:axId val="2040619375"/>
      </c:lineChart>
      <c:catAx>
        <c:axId val="2050990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50990847"/>
        <c:crosses val="autoZero"/>
        <c:auto val="1"/>
        <c:lblAlgn val="ctr"/>
        <c:lblOffset val="100"/>
        <c:noMultiLvlLbl val="0"/>
      </c:catAx>
      <c:valAx>
        <c:axId val="2050990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numFmt formatCode="#,##0.00_);[Red]\(#,##0.0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50990431"/>
        <c:crosses val="autoZero"/>
        <c:crossBetween val="between"/>
        <c:majorUnit val="10"/>
      </c:valAx>
      <c:valAx>
        <c:axId val="2040619375"/>
        <c:scaling>
          <c:orientation val="minMax"/>
          <c:max val="0.82000000000000006"/>
          <c:min val="0.76000000000000012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40618543"/>
        <c:crosses val="max"/>
        <c:crossBetween val="between"/>
        <c:majorUnit val="2.0000000000000004E-2"/>
      </c:valAx>
      <c:catAx>
        <c:axId val="2040618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06193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 i="0" baseline="0">
                <a:solidFill>
                  <a:srgbClr val="002060"/>
                </a:solidFill>
                <a:effectLst/>
              </a:rPr>
              <a:t>Breakdown of Revenues in FY18</a:t>
            </a:r>
            <a:endParaRPr lang="en-US" sz="900">
              <a:solidFill>
                <a:srgbClr val="002060"/>
              </a:solidFill>
              <a:effectLst/>
            </a:endParaRPr>
          </a:p>
        </c:rich>
      </c:tx>
      <c:layout>
        <c:manualLayout>
          <c:xMode val="edge"/>
          <c:yMode val="edge"/>
          <c:x val="2.5833333333333323E-2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'Dougnut chart'!$E$3</c:f>
              <c:strCache>
                <c:ptCount val="1"/>
                <c:pt idx="0">
                  <c:v>FY18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C-4711-B7D7-338857D68321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C-4711-B7D7-338857D68321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C-4711-B7D7-338857D683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'Dougnut chart'!$E$4:$E$6</c:f>
              <c:numCache>
                <c:formatCode>#,##0.00_);[Red]\(#,##0.00\);\-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9C-4711-B7D7-338857D68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8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 i="0" baseline="0">
                <a:solidFill>
                  <a:srgbClr val="002060"/>
                </a:solidFill>
                <a:effectLst/>
              </a:rPr>
              <a:t>FY16-FY18 Revenues and Gross Margin %</a:t>
            </a:r>
            <a:endParaRPr lang="en-US" sz="900">
              <a:solidFill>
                <a:srgbClr val="002060"/>
              </a:solidFill>
              <a:effectLst/>
            </a:endParaRPr>
          </a:p>
        </c:rich>
      </c:tx>
      <c:layout>
        <c:manualLayout>
          <c:xMode val="edge"/>
          <c:yMode val="edge"/>
          <c:x val="2.1437445319335072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8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'Area chart'!$B$4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'Area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'Area chart'!$C$4:$E$4</c:f>
              <c:numCache>
                <c:formatCode>#,##0.00_);[Red]\(#,##0.00\);\-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4A-488D-AC4B-704150EF3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279199"/>
        <c:axId val="2007288767"/>
      </c:areaChart>
      <c:lineChart>
        <c:grouping val="standard"/>
        <c:varyColors val="0"/>
        <c:ser>
          <c:idx val="1"/>
          <c:order val="1"/>
          <c:tx>
            <c:strRef>
              <c:f>'Area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'Area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'Area chart'!$C$5:$E$5</c:f>
              <c:numCache>
                <c:formatCode>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84A-488D-AC4B-704150EF3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938959"/>
        <c:axId val="2071944367"/>
      </c:lineChart>
      <c:catAx>
        <c:axId val="20072791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07288767"/>
        <c:crosses val="autoZero"/>
        <c:auto val="1"/>
        <c:lblAlgn val="ctr"/>
        <c:lblOffset val="100"/>
        <c:noMultiLvlLbl val="0"/>
      </c:catAx>
      <c:valAx>
        <c:axId val="2007288767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numFmt formatCode="#,##0.00_);[Red]\(#,##0.0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07279199"/>
        <c:crosses val="autoZero"/>
        <c:crossBetween val="between"/>
        <c:majorUnit val="2"/>
      </c:valAx>
      <c:valAx>
        <c:axId val="2071944367"/>
        <c:scaling>
          <c:orientation val="minMax"/>
          <c:max val="0.82000000000000006"/>
          <c:min val="0.76000000000000012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71938959"/>
        <c:crosses val="max"/>
        <c:crossBetween val="between"/>
        <c:majorUnit val="2.0000000000000004E-2"/>
      </c:valAx>
      <c:catAx>
        <c:axId val="20719389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19443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rtl="0"/>
            <a:r>
              <a:rPr lang="en-US" sz="900" b="1" i="0" baseline="0">
                <a:solidFill>
                  <a:srgbClr val="002060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EBITDA bridge: FY17-FY18</a:t>
            </a:r>
            <a:endParaRPr lang="en-US" sz="900">
              <a:solidFill>
                <a:srgbClr val="00206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cx:rich>
      </cx:tx>
    </cx:title>
    <cx:plotArea>
      <cx:plotAreaRegion>
        <cx:series layoutId="waterfall" uniqueId="{8C1023F1-51C7-41EE-82C1-F98C30189864}">
          <cx:dataPt idx="0">
            <cx:spPr>
              <a:solidFill>
                <a:srgbClr val="002060"/>
              </a:solidFill>
            </cx:spPr>
          </cx:dataPt>
          <cx:dataPt idx="1">
            <cx:spPr>
              <a:solidFill>
                <a:srgbClr val="00B0F0"/>
              </a:solidFill>
            </cx:spPr>
          </cx:dataPt>
          <cx:dataPt idx="2">
            <cx:spPr>
              <a:solidFill>
                <a:srgbClr val="FF0000"/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Pt idx="4">
            <cx:spPr>
              <a:solidFill>
                <a:srgbClr val="002060"/>
              </a:solidFill>
            </cx:spPr>
          </cx:dataPt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tx1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 sz="900" b="1" i="0" u="none" strike="noStrike" baseline="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0" value="1"/>
            <cx:dataLabel idx="0" pos="ctr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>
                      <a:solidFill>
                        <a:schemeClr val="bg1"/>
                      </a:solidFill>
                    </a:defRPr>
                  </a:pPr>
                  <a:r>
                    <a:rPr lang="en-US" sz="900" b="1" i="0" u="none" strike="noStrike" baseline="0">
                      <a:solidFill>
                        <a:schemeClr val="bg1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t>4.24 </a:t>
                  </a:r>
                </a:p>
              </cx:txPr>
              <cx:separator>, </cx:separator>
            </cx:dataLabel>
            <cx:dataLabel idx="4" pos="ctr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>
                      <a:solidFill>
                        <a:schemeClr val="bg1"/>
                      </a:solidFill>
                    </a:defRPr>
                  </a:pPr>
                  <a:r>
                    <a:rPr lang="en-US" sz="900" b="1" i="0" u="none" strike="noStrike" baseline="0">
                      <a:solidFill>
                        <a:schemeClr val="bg1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t>5.29 </a:t>
                  </a:r>
                </a:p>
              </cx:txPr>
              <cx:visibility seriesName="0" categoryName="0" value="1"/>
              <cx:separator>, </cx:separator>
            </cx:dataLabel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aseline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>
        <cx:valScaling/>
        <cx:title>
          <cx:tx>
            <cx:txData>
              <cx:v>Euro In Million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>
                  <a:solidFill>
                    <a:schemeClr val="bg1">
                      <a:lumMod val="50000"/>
                    </a:schemeClr>
                  </a:solidFill>
                  <a:latin typeface="Arial" panose="020B0604020202020204" pitchFamily="34" charset="0"/>
                  <a:ea typeface="Arial" panose="020B0604020202020204" pitchFamily="34" charset="0"/>
                  <a:cs typeface="Arial" panose="020B0604020202020204" pitchFamily="34" charset="0"/>
                </a:defRPr>
              </a:pPr>
              <a:r>
                <a:rPr lang="en-US" sz="900" b="0" i="0" u="none" strike="noStrike" baseline="0">
                  <a:solidFill>
                    <a:schemeClr val="bg1">
                      <a:lumMod val="50000"/>
                    </a:schemeClr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Euro In Million</a:t>
              </a:r>
            </a:p>
          </cx:txPr>
        </cx:title>
        <cx:majorGridlines>
          <cx:spPr>
            <a:ln>
              <a:solidFill>
                <a:schemeClr val="bg1">
                  <a:lumMod val="50000"/>
                  <a:alpha val="25000"/>
                </a:schemeClr>
              </a:solidFill>
            </a:ln>
          </cx:spPr>
        </cx:majorGridlines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aseline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 i="0" u="none" strike="noStrik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8</xdr:row>
      <xdr:rowOff>61912</xdr:rowOff>
    </xdr:from>
    <xdr:to>
      <xdr:col>6</xdr:col>
      <xdr:colOff>514350</xdr:colOff>
      <xdr:row>26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5752D2-DBE5-0BC9-0C82-73DD9495B7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6</xdr:col>
      <xdr:colOff>427160</xdr:colOff>
      <xdr:row>23</xdr:row>
      <xdr:rowOff>29675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9BB40B6-82AA-485D-A94E-689B2E3EAC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1057275</xdr:colOff>
      <xdr:row>15</xdr:row>
      <xdr:rowOff>29675</xdr:rowOff>
    </xdr:from>
    <xdr:to>
      <xdr:col>3</xdr:col>
      <xdr:colOff>134083</xdr:colOff>
      <xdr:row>17</xdr:row>
      <xdr:rowOff>95618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1635EE8-F267-496C-8C53-6D190C5818B2}"/>
            </a:ext>
          </a:extLst>
        </xdr:cNvPr>
        <xdr:cNvSpPr txBox="1"/>
      </xdr:nvSpPr>
      <xdr:spPr>
        <a:xfrm>
          <a:off x="1189160" y="2388944"/>
          <a:ext cx="827942" cy="3736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€</a:t>
          </a:r>
          <a:r>
            <a:rPr lang="en-US" sz="900" b="1">
              <a:latin typeface="Arial" panose="020B0604020202020204" pitchFamily="34" charset="0"/>
              <a:cs typeface="Arial" panose="020B0604020202020204" pitchFamily="34" charset="0"/>
            </a:rPr>
            <a:t>26.31m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60325</xdr:colOff>
      <xdr:row>5</xdr:row>
      <xdr:rowOff>71437</xdr:rowOff>
    </xdr:from>
    <xdr:to>
      <xdr:col>7</xdr:col>
      <xdr:colOff>541337</xdr:colOff>
      <xdr:row>23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D54E03-614C-FC30-997E-75615E44C1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147637</xdr:rowOff>
    </xdr:from>
    <xdr:to>
      <xdr:col>10</xdr:col>
      <xdr:colOff>38100</xdr:colOff>
      <xdr:row>27</xdr:row>
      <xdr:rowOff>147637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6C728980-F78A-DAE4-F563-6A6EA28AFE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566862"/>
              <a:ext cx="654367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35DB6B-7411-4241-8670-EBE1F5799879}" name="fy_16" displayName="fy_16" ref="B4:G61" headerRowDxfId="37" dataDxfId="35" headerRowBorderDxfId="36">
  <autoFilter ref="B4:G61" xr:uid="{4E35DB6B-7411-4241-8670-EBE1F5799879}"/>
  <tableColumns count="6">
    <tableColumn id="1" xr3:uid="{C0969481-422E-4B14-96D5-10A998DF418D}" name="P&amp;L account" totalsRowLabel="Total" dataDxfId="34" totalsRowDxfId="33"/>
    <tableColumn id="2" xr3:uid="{FB113BCC-5CEA-4319-A047-CA4263703159}" name="Partner company" dataDxfId="32" totalsRowDxfId="31"/>
    <tableColumn id="3" xr3:uid="{CACFA6A8-581B-491A-804A-9581B0998F62}" name="Name of partner company" dataDxfId="30" totalsRowDxfId="29"/>
    <tableColumn id="4" xr3:uid="{7897EF55-2C4E-4263-9565-394B1249D7DD}" name="Amounts" dataDxfId="28" totalsRowDxfId="27" dataCellStyle="Comma"/>
    <tableColumn id="5" xr3:uid="{52C924EB-CB37-4181-B4BE-B5168C1E7E88}" name="Account number" totalsRowFunction="sum" dataDxfId="26" totalsRowDxfId="25"/>
    <tableColumn id="6" xr3:uid="{57B331DA-5D07-4E6C-8E35-3DF7557053EB}" name="Code" dataDxfId="24" totalsRowDxfId="2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CD0A7A-A2D0-4800-A713-6BC7EA73E8DD}" name="fy_17" displayName="fy_17" ref="B4:G86" totalsRowShown="0" headerRowDxfId="22" dataDxfId="21">
  <autoFilter ref="B4:G86" xr:uid="{00000000-0009-0000-0000-000004000000}"/>
  <tableColumns count="6">
    <tableColumn id="1" xr3:uid="{65EF4DAF-6E96-4CA1-83F2-8CB7DD71B7F9}" name="P&amp;L account" dataDxfId="20"/>
    <tableColumn id="2" xr3:uid="{8F276ED6-0059-40E4-96B8-0C9AC1302312}" name="Partner company" dataDxfId="19"/>
    <tableColumn id="3" xr3:uid="{2280CFE1-A9A6-4C2C-9744-A5FA29E5C664}" name="Name of partner company" dataDxfId="18"/>
    <tableColumn id="4" xr3:uid="{A37AB955-5230-431E-B309-815D7B173649}" name="Amounts" dataDxfId="17" dataCellStyle="Comma"/>
    <tableColumn id="5" xr3:uid="{666E593B-B899-4624-A011-753CDEE27455}" name="Account number" dataDxfId="16"/>
    <tableColumn id="6" xr3:uid="{AECF3A18-6EFC-4A08-8151-B90D9DE4503F}" name="Code" dataDxfId="1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00D726D-1C65-4AF0-9589-B54D0C64B8A7}" name="fy_18" displayName="fy_18" ref="B4:G78" totalsRowShown="0" headerRowDxfId="14" headerRowBorderDxfId="13">
  <autoFilter ref="B4:G78" xr:uid="{00000000-0009-0000-0000-000005000000}"/>
  <tableColumns count="6">
    <tableColumn id="1" xr3:uid="{574069CA-CA4A-4970-AB53-C749CBBB551A}" name="P&amp;L account"/>
    <tableColumn id="2" xr3:uid="{9D1EA1FF-73F3-47A5-BACC-53F45943E469}" name="Partner company" dataDxfId="12"/>
    <tableColumn id="3" xr3:uid="{F22AA2DC-77F3-44BA-8604-BBC5F69B2EC6}" name="Name of partner company"/>
    <tableColumn id="4" xr3:uid="{F8BFCD0C-AC75-4B1D-BD96-87FE43BFDFE3}" name="Amounts"/>
    <tableColumn id="5" xr3:uid="{8329F22C-906C-441C-A4E6-11935789983F}" name="Account number"/>
    <tableColumn id="6" xr3:uid="{06B6100D-0FFF-443B-A2AE-42C0193EEB3E}" name="Code" dataDxfId="1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26F2EB8-40BD-4345-AD12-01A227F1C413}" name="db" displayName="db" ref="B3:I108" totalsRowShown="0" headerRowDxfId="10" dataDxfId="8" headerRowBorderDxfId="9">
  <autoFilter ref="B3:I108" xr:uid="{926F2EB8-40BD-4345-AD12-01A227F1C413}"/>
  <tableColumns count="8">
    <tableColumn id="1" xr3:uid="{6F78D03F-2C34-4E7C-9276-02FB6D2C2F50}" name="Code" dataDxfId="7"/>
    <tableColumn id="2" xr3:uid="{55642D63-C6F0-473F-8E3E-102AC51BB767}" name="P&amp;L account" dataDxfId="6">
      <calculatedColumnFormula>_xlfn.XLOOKUP(db[[#This Row],[Code]],fy_16[Code],fy_16[P&amp;L account])</calculatedColumnFormula>
    </tableColumn>
    <tableColumn id="3" xr3:uid="{0E11A688-EE00-4E2B-94DE-D6C0F63D08B4}" name="Partner company" dataDxfId="5">
      <calculatedColumnFormula>_xlfn.XLOOKUP(db[[#This Row],[Code]],fy_16[Code],fy_16[Partner company])</calculatedColumnFormula>
    </tableColumn>
    <tableColumn id="4" xr3:uid="{E080A118-208C-4435-85D3-68E335D361AD}" name="Name of partner company" dataDxfId="4">
      <calculatedColumnFormula>_xlfn.XLOOKUP(db[[#This Row],[Code]],fy_16[Code],fy_16[Name of partner company])</calculatedColumnFormula>
    </tableColumn>
    <tableColumn id="5" xr3:uid="{64A0D2B7-C672-4364-B2BC-97A3781738BB}" name="FY16" dataDxfId="3">
      <calculatedColumnFormula>-SUMIF(fy_16[Code],db[[#This Row],[Code]],fy_16[Amounts])</calculatedColumnFormula>
    </tableColumn>
    <tableColumn id="6" xr3:uid="{464F25B0-2D7C-4DD5-9B32-E8002E3B23F5}" name="FY17" dataDxfId="2">
      <calculatedColumnFormula>-SUMIF(fy_17[Code],db[[#This Row],[Code]],fy_17[Amounts])</calculatedColumnFormula>
    </tableColumn>
    <tableColumn id="7" xr3:uid="{B5EA3B9F-695E-413D-A6BB-9F7CDE8221C9}" name="FY18" dataDxfId="1">
      <calculatedColumnFormula>-SUMIF(fy_18[Code],db[[#This Row],[Code]],fy_18[Amounts])</calculatedColumnFormula>
    </tableColumn>
    <tableColumn id="8" xr3:uid="{CEAD85CB-782F-476A-A0E0-8A01E6C5FABE}" name="Mapping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/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tabSelected="1" workbookViewId="0"/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108</v>
      </c>
    </row>
    <row r="2" spans="2:4" x14ac:dyDescent="0.2">
      <c r="B2" s="7" t="s">
        <v>57</v>
      </c>
    </row>
    <row r="4" spans="2:4" ht="12.75" thickBot="1" x14ac:dyDescent="0.25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x14ac:dyDescent="0.2">
      <c r="B6" s="11">
        <v>2</v>
      </c>
      <c r="C6" s="12" t="s">
        <v>62</v>
      </c>
      <c r="D6" s="12"/>
    </row>
    <row r="7" spans="2:4" x14ac:dyDescent="0.2">
      <c r="B7" s="8">
        <v>3</v>
      </c>
      <c r="C7" s="23" t="s">
        <v>109</v>
      </c>
    </row>
    <row r="8" spans="2:4" x14ac:dyDescent="0.2">
      <c r="B8" s="8">
        <v>4</v>
      </c>
      <c r="C8" s="23" t="s">
        <v>110</v>
      </c>
    </row>
    <row r="9" spans="2:4" x14ac:dyDescent="0.2">
      <c r="B9" s="8">
        <v>5</v>
      </c>
      <c r="C9" s="23" t="s">
        <v>111</v>
      </c>
    </row>
    <row r="10" spans="2:4" x14ac:dyDescent="0.2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x14ac:dyDescent="0.2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/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/>
  </sheetViews>
  <sheetFormatPr defaultColWidth="9.140625" defaultRowHeight="12" x14ac:dyDescent="0.2"/>
  <cols>
    <col min="1" max="1" width="2" style="2" customWidth="1"/>
    <col min="2" max="2" width="27.42578125" style="2" bestFit="1" customWidth="1"/>
    <col min="3" max="3" width="20.5703125" style="2" bestFit="1" customWidth="1"/>
    <col min="4" max="4" width="29.5703125" style="2" bestFit="1" customWidth="1"/>
    <col min="5" max="5" width="12" style="2" bestFit="1" customWidth="1"/>
    <col min="6" max="6" width="20" style="2" bestFit="1" customWidth="1"/>
    <col min="7" max="7" width="17.28515625" style="2" bestFit="1" customWidth="1"/>
    <col min="8" max="16384" width="9.140625" style="2"/>
  </cols>
  <sheetData>
    <row r="1" spans="2:7" ht="15.75" x14ac:dyDescent="0.25">
      <c r="B1" s="3" t="s">
        <v>112</v>
      </c>
    </row>
    <row r="4" spans="2:7" ht="15.75" thickBot="1" x14ac:dyDescent="0.3">
      <c r="B4" s="26" t="s">
        <v>99</v>
      </c>
      <c r="C4" s="26" t="s">
        <v>31</v>
      </c>
      <c r="D4" s="26" t="s">
        <v>100</v>
      </c>
      <c r="E4" s="26" t="s">
        <v>101</v>
      </c>
      <c r="F4" s="26" t="s">
        <v>102</v>
      </c>
      <c r="G4" s="26" t="s">
        <v>115</v>
      </c>
    </row>
    <row r="5" spans="2:7" x14ac:dyDescent="0.2">
      <c r="B5" s="6" t="s">
        <v>65</v>
      </c>
      <c r="C5" s="6">
        <v>111111</v>
      </c>
      <c r="D5" s="6" t="s">
        <v>103</v>
      </c>
      <c r="E5" s="16">
        <v>-14500341</v>
      </c>
      <c r="F5" s="17">
        <v>2001110000</v>
      </c>
      <c r="G5" s="6" t="s">
        <v>116</v>
      </c>
    </row>
    <row r="6" spans="2:7" x14ac:dyDescent="0.2">
      <c r="B6" s="6" t="s">
        <v>66</v>
      </c>
      <c r="C6" s="6">
        <v>111111</v>
      </c>
      <c r="D6" s="6" t="s">
        <v>103</v>
      </c>
      <c r="E6" s="16">
        <v>-4794856.1919999998</v>
      </c>
      <c r="F6" s="17">
        <v>2001190000</v>
      </c>
      <c r="G6" s="6" t="s">
        <v>117</v>
      </c>
    </row>
    <row r="7" spans="2:7" x14ac:dyDescent="0.2">
      <c r="B7" s="6" t="s">
        <v>67</v>
      </c>
      <c r="C7" s="6">
        <v>1009</v>
      </c>
      <c r="D7" s="6" t="s">
        <v>35</v>
      </c>
      <c r="E7" s="16">
        <v>-154890.4</v>
      </c>
      <c r="F7" s="17">
        <v>2020000000</v>
      </c>
      <c r="G7" s="6" t="s">
        <v>118</v>
      </c>
    </row>
    <row r="8" spans="2:7" x14ac:dyDescent="0.2">
      <c r="B8" s="6" t="s">
        <v>67</v>
      </c>
      <c r="C8" s="6">
        <v>1007</v>
      </c>
      <c r="D8" s="6" t="s">
        <v>37</v>
      </c>
      <c r="E8" s="16">
        <v>-1180894.0520000001</v>
      </c>
      <c r="F8" s="17">
        <v>2020000000</v>
      </c>
      <c r="G8" s="6" t="s">
        <v>119</v>
      </c>
    </row>
    <row r="9" spans="2:7" x14ac:dyDescent="0.2">
      <c r="B9" s="6" t="s">
        <v>67</v>
      </c>
      <c r="C9" s="6">
        <v>1008</v>
      </c>
      <c r="D9" s="6" t="s">
        <v>39</v>
      </c>
      <c r="E9" s="16">
        <v>-793079.51199999999</v>
      </c>
      <c r="F9" s="17">
        <v>2020000000</v>
      </c>
      <c r="G9" s="6" t="s">
        <v>120</v>
      </c>
    </row>
    <row r="10" spans="2:7" x14ac:dyDescent="0.2">
      <c r="B10" s="6" t="s">
        <v>67</v>
      </c>
      <c r="C10" s="6">
        <v>111101</v>
      </c>
      <c r="D10" s="6" t="s">
        <v>0</v>
      </c>
      <c r="E10" s="16">
        <v>-2277197.6</v>
      </c>
      <c r="F10" s="17">
        <v>2020000000</v>
      </c>
      <c r="G10" s="6" t="s">
        <v>121</v>
      </c>
    </row>
    <row r="11" spans="2:7" x14ac:dyDescent="0.2">
      <c r="B11" s="6" t="s">
        <v>104</v>
      </c>
      <c r="C11" s="6">
        <v>111111</v>
      </c>
      <c r="D11" s="6" t="s">
        <v>103</v>
      </c>
      <c r="E11" s="16">
        <v>4428911.7640000004</v>
      </c>
      <c r="F11" s="17">
        <v>2021900000</v>
      </c>
      <c r="G11" s="6" t="s">
        <v>122</v>
      </c>
    </row>
    <row r="12" spans="2:7" x14ac:dyDescent="0.2">
      <c r="B12" s="6" t="s">
        <v>69</v>
      </c>
      <c r="C12" s="6">
        <v>111111</v>
      </c>
      <c r="D12" s="6" t="s">
        <v>103</v>
      </c>
      <c r="E12" s="16">
        <v>16977.628000000001</v>
      </c>
      <c r="F12" s="17">
        <v>2024080000</v>
      </c>
      <c r="G12" s="6" t="s">
        <v>123</v>
      </c>
    </row>
    <row r="13" spans="2:7" x14ac:dyDescent="0.2">
      <c r="B13" s="6" t="s">
        <v>68</v>
      </c>
      <c r="C13" s="6">
        <v>88</v>
      </c>
      <c r="D13" s="6" t="s">
        <v>32</v>
      </c>
      <c r="E13" s="16">
        <v>2245437.54</v>
      </c>
      <c r="F13" s="17">
        <v>2024090000</v>
      </c>
      <c r="G13" s="6" t="s">
        <v>124</v>
      </c>
    </row>
    <row r="14" spans="2:7" x14ac:dyDescent="0.2">
      <c r="B14" s="6" t="s">
        <v>68</v>
      </c>
      <c r="C14" s="6">
        <v>111111</v>
      </c>
      <c r="D14" s="6" t="s">
        <v>103</v>
      </c>
      <c r="E14" s="16">
        <v>16605.634000000002</v>
      </c>
      <c r="F14" s="17">
        <v>2024090000</v>
      </c>
      <c r="G14" s="6" t="s">
        <v>125</v>
      </c>
    </row>
    <row r="15" spans="2:7" x14ac:dyDescent="0.2">
      <c r="B15" s="6" t="s">
        <v>1</v>
      </c>
      <c r="C15" s="6">
        <v>111111</v>
      </c>
      <c r="D15" s="6" t="s">
        <v>103</v>
      </c>
      <c r="E15" s="16">
        <v>4683394.0460000001</v>
      </c>
      <c r="F15" s="17">
        <v>2041000000</v>
      </c>
      <c r="G15" s="6" t="s">
        <v>126</v>
      </c>
    </row>
    <row r="16" spans="2:7" x14ac:dyDescent="0.2">
      <c r="B16" s="6" t="s">
        <v>70</v>
      </c>
      <c r="C16" s="6">
        <v>111101</v>
      </c>
      <c r="D16" s="6" t="s">
        <v>0</v>
      </c>
      <c r="E16" s="16">
        <v>1143051.5760000001</v>
      </c>
      <c r="F16" s="17">
        <v>2042000000</v>
      </c>
      <c r="G16" s="6" t="s">
        <v>127</v>
      </c>
    </row>
    <row r="17" spans="2:7" x14ac:dyDescent="0.2">
      <c r="B17" s="6" t="s">
        <v>70</v>
      </c>
      <c r="C17" s="6">
        <v>88</v>
      </c>
      <c r="D17" s="6" t="s">
        <v>32</v>
      </c>
      <c r="E17" s="16">
        <v>239379.61800000002</v>
      </c>
      <c r="F17" s="17">
        <v>2042000000</v>
      </c>
      <c r="G17" s="6" t="s">
        <v>128</v>
      </c>
    </row>
    <row r="18" spans="2:7" x14ac:dyDescent="0.2">
      <c r="B18" s="6" t="s">
        <v>71</v>
      </c>
      <c r="C18" s="6">
        <v>111101</v>
      </c>
      <c r="D18" s="6" t="s">
        <v>0</v>
      </c>
      <c r="E18" s="16">
        <v>104913.8</v>
      </c>
      <c r="F18" s="17">
        <v>2045000000</v>
      </c>
      <c r="G18" s="6" t="s">
        <v>129</v>
      </c>
    </row>
    <row r="19" spans="2:7" x14ac:dyDescent="0.2">
      <c r="B19" s="6" t="s">
        <v>72</v>
      </c>
      <c r="C19" s="6">
        <v>111101</v>
      </c>
      <c r="D19" s="6" t="s">
        <v>0</v>
      </c>
      <c r="E19" s="16">
        <v>2003262.2180000001</v>
      </c>
      <c r="F19" s="17">
        <v>2051210000</v>
      </c>
      <c r="G19" s="6" t="s">
        <v>130</v>
      </c>
    </row>
    <row r="20" spans="2:7" x14ac:dyDescent="0.2">
      <c r="B20" s="6" t="s">
        <v>72</v>
      </c>
      <c r="C20" s="6">
        <v>1</v>
      </c>
      <c r="D20" s="6" t="s">
        <v>0</v>
      </c>
      <c r="E20" s="16">
        <v>41981.296000000002</v>
      </c>
      <c r="F20" s="17">
        <v>2051210000</v>
      </c>
      <c r="G20" s="6" t="s">
        <v>131</v>
      </c>
    </row>
    <row r="21" spans="2:7" x14ac:dyDescent="0.2">
      <c r="B21" s="6" t="s">
        <v>73</v>
      </c>
      <c r="C21" s="6" t="s">
        <v>3</v>
      </c>
      <c r="D21" s="6" t="s">
        <v>40</v>
      </c>
      <c r="E21" s="16">
        <v>-2156147.4</v>
      </c>
      <c r="F21" s="17">
        <v>2069010000</v>
      </c>
      <c r="G21" s="6" t="s">
        <v>132</v>
      </c>
    </row>
    <row r="22" spans="2:7" x14ac:dyDescent="0.2">
      <c r="B22" s="6" t="s">
        <v>73</v>
      </c>
      <c r="C22" s="6">
        <v>14</v>
      </c>
      <c r="D22" s="6" t="s">
        <v>41</v>
      </c>
      <c r="E22" s="16">
        <v>-291428.55199999997</v>
      </c>
      <c r="F22" s="17">
        <v>2069010000</v>
      </c>
      <c r="G22" s="6" t="s">
        <v>133</v>
      </c>
    </row>
    <row r="23" spans="2:7" x14ac:dyDescent="0.2">
      <c r="B23" s="6" t="s">
        <v>73</v>
      </c>
      <c r="C23" s="6">
        <v>1037</v>
      </c>
      <c r="D23" s="6" t="s">
        <v>46</v>
      </c>
      <c r="E23" s="16">
        <v>0</v>
      </c>
      <c r="F23" s="17">
        <v>2069010000</v>
      </c>
      <c r="G23" s="6" t="s">
        <v>134</v>
      </c>
    </row>
    <row r="24" spans="2:7" x14ac:dyDescent="0.2">
      <c r="B24" s="6" t="s">
        <v>73</v>
      </c>
      <c r="C24" s="6" t="s">
        <v>4</v>
      </c>
      <c r="D24" s="6" t="s">
        <v>45</v>
      </c>
      <c r="E24" s="16">
        <v>-33736.5</v>
      </c>
      <c r="F24" s="17">
        <v>2069010000</v>
      </c>
      <c r="G24" s="6" t="s">
        <v>135</v>
      </c>
    </row>
    <row r="25" spans="2:7" x14ac:dyDescent="0.2">
      <c r="B25" s="6" t="s">
        <v>73</v>
      </c>
      <c r="C25" s="6">
        <v>1009</v>
      </c>
      <c r="D25" s="6" t="s">
        <v>35</v>
      </c>
      <c r="E25" s="16">
        <v>0</v>
      </c>
      <c r="F25" s="17">
        <v>2069010000</v>
      </c>
      <c r="G25" s="6" t="s">
        <v>136</v>
      </c>
    </row>
    <row r="26" spans="2:7" x14ac:dyDescent="0.2">
      <c r="B26" s="6" t="s">
        <v>73</v>
      </c>
      <c r="C26" s="6">
        <v>1007</v>
      </c>
      <c r="D26" s="6" t="s">
        <v>37</v>
      </c>
      <c r="E26" s="16">
        <v>0</v>
      </c>
      <c r="F26" s="17">
        <v>2069010000</v>
      </c>
      <c r="G26" s="6" t="s">
        <v>137</v>
      </c>
    </row>
    <row r="27" spans="2:7" x14ac:dyDescent="0.2">
      <c r="B27" s="6" t="s">
        <v>73</v>
      </c>
      <c r="C27" s="6">
        <v>1008</v>
      </c>
      <c r="D27" s="6" t="s">
        <v>39</v>
      </c>
      <c r="E27" s="16">
        <v>0</v>
      </c>
      <c r="F27" s="17">
        <v>2069010000</v>
      </c>
      <c r="G27" s="6" t="s">
        <v>138</v>
      </c>
    </row>
    <row r="28" spans="2:7" x14ac:dyDescent="0.2">
      <c r="B28" s="6" t="s">
        <v>73</v>
      </c>
      <c r="C28" s="6">
        <v>1240</v>
      </c>
      <c r="D28" s="6" t="s">
        <v>44</v>
      </c>
      <c r="E28" s="16">
        <v>-199600.4</v>
      </c>
      <c r="F28" s="17">
        <v>2069010000</v>
      </c>
      <c r="G28" s="6" t="s">
        <v>139</v>
      </c>
    </row>
    <row r="29" spans="2:7" x14ac:dyDescent="0.2">
      <c r="B29" s="6" t="s">
        <v>73</v>
      </c>
      <c r="C29" s="6">
        <v>111111</v>
      </c>
      <c r="D29" s="6" t="s">
        <v>103</v>
      </c>
      <c r="E29" s="16">
        <v>-539141.4</v>
      </c>
      <c r="F29" s="17">
        <v>2069010000</v>
      </c>
      <c r="G29" s="6" t="s">
        <v>140</v>
      </c>
    </row>
    <row r="30" spans="2:7" x14ac:dyDescent="0.2">
      <c r="B30" s="6" t="s">
        <v>74</v>
      </c>
      <c r="C30" s="6">
        <v>111111</v>
      </c>
      <c r="D30" s="6" t="s">
        <v>103</v>
      </c>
      <c r="E30" s="16">
        <v>-57.221999999999994</v>
      </c>
      <c r="F30" s="17">
        <v>2069980000</v>
      </c>
      <c r="G30" s="6" t="s">
        <v>141</v>
      </c>
    </row>
    <row r="31" spans="2:7" x14ac:dyDescent="0.2">
      <c r="B31" s="6" t="s">
        <v>75</v>
      </c>
      <c r="C31" s="6">
        <v>111111</v>
      </c>
      <c r="D31" s="6" t="s">
        <v>103</v>
      </c>
      <c r="E31" s="16">
        <v>22314.879999999997</v>
      </c>
      <c r="F31" s="17">
        <v>2070400000</v>
      </c>
      <c r="G31" s="6" t="s">
        <v>142</v>
      </c>
    </row>
    <row r="32" spans="2:7" x14ac:dyDescent="0.2">
      <c r="B32" s="6" t="s">
        <v>76</v>
      </c>
      <c r="C32" s="6">
        <v>88</v>
      </c>
      <c r="D32" s="6" t="s">
        <v>32</v>
      </c>
      <c r="E32" s="16">
        <v>204000</v>
      </c>
      <c r="F32" s="17">
        <v>2070500000</v>
      </c>
      <c r="G32" s="6" t="s">
        <v>143</v>
      </c>
    </row>
    <row r="33" spans="2:7" x14ac:dyDescent="0.2">
      <c r="B33" s="6" t="s">
        <v>76</v>
      </c>
      <c r="C33" s="6">
        <v>111111</v>
      </c>
      <c r="D33" s="6" t="s">
        <v>103</v>
      </c>
      <c r="E33" s="16">
        <v>138.41399999999999</v>
      </c>
      <c r="F33" s="17">
        <v>2070500000</v>
      </c>
      <c r="G33" s="6" t="s">
        <v>144</v>
      </c>
    </row>
    <row r="34" spans="2:7" x14ac:dyDescent="0.2">
      <c r="B34" s="6" t="s">
        <v>77</v>
      </c>
      <c r="C34" s="6">
        <v>111111</v>
      </c>
      <c r="D34" s="6" t="s">
        <v>103</v>
      </c>
      <c r="E34" s="16">
        <v>1127445.872</v>
      </c>
      <c r="F34" s="17">
        <v>2070600000</v>
      </c>
      <c r="G34" s="6" t="s">
        <v>145</v>
      </c>
    </row>
    <row r="35" spans="2:7" x14ac:dyDescent="0.2">
      <c r="B35" s="6" t="s">
        <v>78</v>
      </c>
      <c r="C35" s="6" t="s">
        <v>5</v>
      </c>
      <c r="D35" s="6" t="s">
        <v>42</v>
      </c>
      <c r="E35" s="16">
        <v>133722</v>
      </c>
      <c r="F35" s="17">
        <v>2070900000</v>
      </c>
      <c r="G35" s="6" t="s">
        <v>146</v>
      </c>
    </row>
    <row r="36" spans="2:7" x14ac:dyDescent="0.2">
      <c r="B36" s="6" t="s">
        <v>78</v>
      </c>
      <c r="C36" s="6" t="s">
        <v>6</v>
      </c>
      <c r="D36" s="6" t="s">
        <v>43</v>
      </c>
      <c r="E36" s="16">
        <v>328061.886</v>
      </c>
      <c r="F36" s="17">
        <v>2070900000</v>
      </c>
      <c r="G36" s="6" t="s">
        <v>147</v>
      </c>
    </row>
    <row r="37" spans="2:7" x14ac:dyDescent="0.2">
      <c r="B37" s="6" t="s">
        <v>78</v>
      </c>
      <c r="C37" s="6">
        <v>111111</v>
      </c>
      <c r="D37" s="6" t="s">
        <v>103</v>
      </c>
      <c r="E37" s="16">
        <v>2081304.3219999997</v>
      </c>
      <c r="F37" s="17">
        <v>2070900000</v>
      </c>
      <c r="G37" s="6" t="s">
        <v>148</v>
      </c>
    </row>
    <row r="38" spans="2:7" x14ac:dyDescent="0.2">
      <c r="B38" s="6" t="s">
        <v>7</v>
      </c>
      <c r="C38" s="6">
        <v>111111</v>
      </c>
      <c r="D38" s="6" t="s">
        <v>103</v>
      </c>
      <c r="E38" s="16">
        <v>33410.031999999999</v>
      </c>
      <c r="F38" s="17">
        <v>2071000000</v>
      </c>
      <c r="G38" s="6" t="s">
        <v>149</v>
      </c>
    </row>
    <row r="39" spans="2:7" x14ac:dyDescent="0.2">
      <c r="B39" s="6" t="s">
        <v>79</v>
      </c>
      <c r="C39" s="6">
        <v>111111</v>
      </c>
      <c r="D39" s="6" t="s">
        <v>103</v>
      </c>
      <c r="E39" s="16">
        <v>213090.85199999998</v>
      </c>
      <c r="F39" s="17">
        <v>2071100000</v>
      </c>
      <c r="G39" s="6" t="s">
        <v>150</v>
      </c>
    </row>
    <row r="40" spans="2:7" x14ac:dyDescent="0.2">
      <c r="B40" s="6" t="s">
        <v>8</v>
      </c>
      <c r="C40" s="6">
        <v>111111</v>
      </c>
      <c r="D40" s="6" t="s">
        <v>103</v>
      </c>
      <c r="E40" s="16">
        <v>1813525.004</v>
      </c>
      <c r="F40" s="17">
        <v>2071209200</v>
      </c>
      <c r="G40" s="6" t="s">
        <v>151</v>
      </c>
    </row>
    <row r="41" spans="2:7" x14ac:dyDescent="0.2">
      <c r="B41" s="6" t="s">
        <v>80</v>
      </c>
      <c r="C41" s="6">
        <v>111111</v>
      </c>
      <c r="D41" s="6" t="s">
        <v>103</v>
      </c>
      <c r="E41" s="16">
        <v>5552.2</v>
      </c>
      <c r="F41" s="17">
        <v>2071209400</v>
      </c>
      <c r="G41" s="6" t="s">
        <v>152</v>
      </c>
    </row>
    <row r="42" spans="2:7" x14ac:dyDescent="0.2">
      <c r="B42" s="6" t="s">
        <v>81</v>
      </c>
      <c r="C42" s="6">
        <v>111111</v>
      </c>
      <c r="D42" s="6" t="s">
        <v>103</v>
      </c>
      <c r="E42" s="16">
        <v>43868.975999999995</v>
      </c>
      <c r="F42" s="17">
        <v>2071209500</v>
      </c>
      <c r="G42" s="6" t="s">
        <v>153</v>
      </c>
    </row>
    <row r="43" spans="2:7" x14ac:dyDescent="0.2">
      <c r="B43" s="6" t="s">
        <v>82</v>
      </c>
      <c r="C43" s="6">
        <v>111101</v>
      </c>
      <c r="D43" s="6" t="s">
        <v>0</v>
      </c>
      <c r="E43" s="16">
        <v>10934.671999999999</v>
      </c>
      <c r="F43" s="17">
        <v>2071980000</v>
      </c>
      <c r="G43" s="6" t="s">
        <v>154</v>
      </c>
    </row>
    <row r="44" spans="2:7" x14ac:dyDescent="0.2">
      <c r="B44" s="6" t="s">
        <v>83</v>
      </c>
      <c r="C44" s="6">
        <v>111111</v>
      </c>
      <c r="D44" s="6" t="s">
        <v>103</v>
      </c>
      <c r="E44" s="16">
        <v>20400</v>
      </c>
      <c r="F44" s="17">
        <v>2079022000</v>
      </c>
      <c r="G44" s="6" t="s">
        <v>155</v>
      </c>
    </row>
    <row r="45" spans="2:7" x14ac:dyDescent="0.2">
      <c r="B45" s="6" t="s">
        <v>84</v>
      </c>
      <c r="C45" s="6">
        <v>105</v>
      </c>
      <c r="D45" s="6" t="s">
        <v>33</v>
      </c>
      <c r="E45" s="16">
        <v>0</v>
      </c>
      <c r="F45" s="17">
        <v>2079070000</v>
      </c>
      <c r="G45" s="6" t="s">
        <v>156</v>
      </c>
    </row>
    <row r="46" spans="2:7" x14ac:dyDescent="0.2">
      <c r="B46" s="6" t="s">
        <v>84</v>
      </c>
      <c r="C46" s="6">
        <v>111111</v>
      </c>
      <c r="D46" s="6" t="s">
        <v>103</v>
      </c>
      <c r="E46" s="16">
        <v>563918.152</v>
      </c>
      <c r="F46" s="17">
        <v>2079070000</v>
      </c>
      <c r="G46" s="6" t="s">
        <v>157</v>
      </c>
    </row>
    <row r="47" spans="2:7" x14ac:dyDescent="0.2">
      <c r="B47" s="6" t="s">
        <v>85</v>
      </c>
      <c r="C47" s="6">
        <v>1009</v>
      </c>
      <c r="D47" s="6" t="s">
        <v>35</v>
      </c>
      <c r="E47" s="16">
        <v>0</v>
      </c>
      <c r="F47" s="17">
        <v>2079080000</v>
      </c>
      <c r="G47" s="6" t="s">
        <v>158</v>
      </c>
    </row>
    <row r="48" spans="2:7" x14ac:dyDescent="0.2">
      <c r="B48" s="6" t="s">
        <v>85</v>
      </c>
      <c r="C48" s="6">
        <v>1007</v>
      </c>
      <c r="D48" s="6" t="s">
        <v>37</v>
      </c>
      <c r="E48" s="16">
        <v>0</v>
      </c>
      <c r="F48" s="17">
        <v>2079080000</v>
      </c>
      <c r="G48" s="6" t="s">
        <v>159</v>
      </c>
    </row>
    <row r="49" spans="2:7" x14ac:dyDescent="0.2">
      <c r="B49" s="6" t="s">
        <v>85</v>
      </c>
      <c r="C49" s="6">
        <v>1008</v>
      </c>
      <c r="D49" s="6" t="s">
        <v>39</v>
      </c>
      <c r="E49" s="16">
        <v>0</v>
      </c>
      <c r="F49" s="17">
        <v>2079080000</v>
      </c>
      <c r="G49" s="6" t="s">
        <v>160</v>
      </c>
    </row>
    <row r="50" spans="2:7" x14ac:dyDescent="0.2">
      <c r="B50" s="6" t="s">
        <v>86</v>
      </c>
      <c r="C50" s="6">
        <v>1009</v>
      </c>
      <c r="D50" s="6" t="s">
        <v>35</v>
      </c>
      <c r="E50" s="16">
        <v>0</v>
      </c>
      <c r="F50" s="17">
        <v>2082280000</v>
      </c>
      <c r="G50" s="6" t="s">
        <v>161</v>
      </c>
    </row>
    <row r="51" spans="2:7" x14ac:dyDescent="0.2">
      <c r="B51" s="6" t="s">
        <v>86</v>
      </c>
      <c r="C51" s="6">
        <v>1007</v>
      </c>
      <c r="D51" s="6" t="s">
        <v>37</v>
      </c>
      <c r="E51" s="16">
        <v>0</v>
      </c>
      <c r="F51" s="17">
        <v>2082280000</v>
      </c>
      <c r="G51" s="6" t="s">
        <v>162</v>
      </c>
    </row>
    <row r="52" spans="2:7" x14ac:dyDescent="0.2">
      <c r="B52" s="6" t="s">
        <v>86</v>
      </c>
      <c r="C52" s="6">
        <v>1008</v>
      </c>
      <c r="D52" s="6" t="s">
        <v>39</v>
      </c>
      <c r="E52" s="16">
        <v>0</v>
      </c>
      <c r="F52" s="17">
        <v>2082280000</v>
      </c>
      <c r="G52" s="6" t="s">
        <v>163</v>
      </c>
    </row>
    <row r="53" spans="2:7" x14ac:dyDescent="0.2">
      <c r="B53" s="6" t="s">
        <v>86</v>
      </c>
      <c r="C53" s="6">
        <v>1240</v>
      </c>
      <c r="D53" s="6" t="s">
        <v>44</v>
      </c>
      <c r="E53" s="16">
        <v>-35810.228000000003</v>
      </c>
      <c r="F53" s="17">
        <v>2082280000</v>
      </c>
      <c r="G53" s="6" t="s">
        <v>164</v>
      </c>
    </row>
    <row r="54" spans="2:7" x14ac:dyDescent="0.2">
      <c r="B54" s="6" t="s">
        <v>86</v>
      </c>
      <c r="C54" s="6">
        <v>111111</v>
      </c>
      <c r="D54" s="6" t="s">
        <v>103</v>
      </c>
      <c r="E54" s="16">
        <v>-51927.417999999998</v>
      </c>
      <c r="F54" s="17">
        <v>2082280000</v>
      </c>
      <c r="G54" s="6" t="s">
        <v>165</v>
      </c>
    </row>
    <row r="55" spans="2:7" x14ac:dyDescent="0.2">
      <c r="B55" s="6" t="s">
        <v>9</v>
      </c>
      <c r="C55" s="6">
        <v>111101</v>
      </c>
      <c r="D55" s="6" t="s">
        <v>0</v>
      </c>
      <c r="E55" s="16">
        <v>-862270.63399999996</v>
      </c>
      <c r="F55" s="17">
        <v>2082202000</v>
      </c>
      <c r="G55" s="6" t="s">
        <v>166</v>
      </c>
    </row>
    <row r="56" spans="2:7" x14ac:dyDescent="0.2">
      <c r="B56" s="6" t="s">
        <v>87</v>
      </c>
      <c r="C56" s="6">
        <v>111101</v>
      </c>
      <c r="D56" s="6" t="s">
        <v>0</v>
      </c>
      <c r="E56" s="16">
        <v>22763</v>
      </c>
      <c r="F56" s="17">
        <v>2082208200</v>
      </c>
      <c r="G56" s="6" t="s">
        <v>167</v>
      </c>
    </row>
    <row r="57" spans="2:7" x14ac:dyDescent="0.2">
      <c r="B57" s="6" t="s">
        <v>88</v>
      </c>
      <c r="C57" s="6">
        <v>88</v>
      </c>
      <c r="D57" s="6" t="s">
        <v>32</v>
      </c>
      <c r="E57" s="16">
        <v>2930430.0120000001</v>
      </c>
      <c r="F57" s="17">
        <v>2082214000</v>
      </c>
      <c r="G57" s="6" t="s">
        <v>168</v>
      </c>
    </row>
    <row r="58" spans="2:7" x14ac:dyDescent="0.2">
      <c r="B58" s="6" t="s">
        <v>89</v>
      </c>
      <c r="C58" s="6">
        <v>111101</v>
      </c>
      <c r="D58" s="6" t="s">
        <v>0</v>
      </c>
      <c r="E58" s="16">
        <v>-49378.641999999993</v>
      </c>
      <c r="F58" s="17">
        <v>2091200000</v>
      </c>
      <c r="G58" s="6" t="s">
        <v>169</v>
      </c>
    </row>
    <row r="59" spans="2:7" x14ac:dyDescent="0.2">
      <c r="B59" s="6" t="s">
        <v>90</v>
      </c>
      <c r="C59" s="6">
        <v>111101</v>
      </c>
      <c r="D59" s="6" t="s">
        <v>0</v>
      </c>
      <c r="E59" s="16">
        <v>516250.67</v>
      </c>
      <c r="F59" s="17">
        <v>2091200001</v>
      </c>
      <c r="G59" s="6" t="s">
        <v>170</v>
      </c>
    </row>
    <row r="60" spans="2:7" x14ac:dyDescent="0.2">
      <c r="B60" s="6" t="s">
        <v>91</v>
      </c>
      <c r="C60" s="6">
        <v>111101</v>
      </c>
      <c r="D60" s="6" t="s">
        <v>0</v>
      </c>
      <c r="E60" s="16">
        <v>21593.093999999997</v>
      </c>
      <c r="F60" s="17">
        <v>2092200000</v>
      </c>
      <c r="G60" s="6" t="s">
        <v>171</v>
      </c>
    </row>
    <row r="61" spans="2:7" x14ac:dyDescent="0.2">
      <c r="B61" s="18" t="s">
        <v>64</v>
      </c>
      <c r="C61" s="18">
        <v>111101</v>
      </c>
      <c r="D61" s="18" t="s">
        <v>0</v>
      </c>
      <c r="E61" s="19">
        <v>-2904117.9939999986</v>
      </c>
      <c r="F61" s="20">
        <v>2999999999</v>
      </c>
      <c r="G61" s="6" t="s">
        <v>172</v>
      </c>
    </row>
    <row r="62" spans="2:7" x14ac:dyDescent="0.2">
      <c r="C62" s="6"/>
      <c r="F62" s="5"/>
    </row>
    <row r="63" spans="2:7" x14ac:dyDescent="0.2">
      <c r="C63" s="6"/>
      <c r="F63" s="5"/>
    </row>
    <row r="64" spans="2:7" x14ac:dyDescent="0.2">
      <c r="C64" s="6"/>
      <c r="F64" s="5"/>
    </row>
    <row r="65" spans="3:6" x14ac:dyDescent="0.2">
      <c r="C65" s="6"/>
      <c r="F65" s="5"/>
    </row>
    <row r="66" spans="3:6" x14ac:dyDescent="0.2">
      <c r="C66" s="6"/>
      <c r="F66" s="5"/>
    </row>
    <row r="67" spans="3:6" x14ac:dyDescent="0.2">
      <c r="C67" s="6"/>
      <c r="F67" s="5"/>
    </row>
    <row r="68" spans="3:6" x14ac:dyDescent="0.2">
      <c r="C68" s="6"/>
      <c r="F68" s="5"/>
    </row>
    <row r="69" spans="3:6" x14ac:dyDescent="0.2">
      <c r="C69" s="6"/>
      <c r="F69" s="5"/>
    </row>
    <row r="70" spans="3:6" x14ac:dyDescent="0.2">
      <c r="C70" s="6"/>
      <c r="F70" s="5"/>
    </row>
    <row r="71" spans="3:6" x14ac:dyDescent="0.2">
      <c r="C71" s="6"/>
      <c r="F71" s="5"/>
    </row>
    <row r="72" spans="3:6" x14ac:dyDescent="0.2">
      <c r="C72" s="6"/>
      <c r="F72" s="5"/>
    </row>
    <row r="73" spans="3:6" x14ac:dyDescent="0.2">
      <c r="C73" s="6"/>
      <c r="F73" s="5"/>
    </row>
    <row r="74" spans="3:6" x14ac:dyDescent="0.2">
      <c r="C74" s="6"/>
      <c r="F74" s="5"/>
    </row>
    <row r="75" spans="3:6" x14ac:dyDescent="0.2">
      <c r="C75" s="6"/>
      <c r="F75" s="5"/>
    </row>
    <row r="76" spans="3:6" x14ac:dyDescent="0.2">
      <c r="C76" s="6"/>
      <c r="F76" s="5"/>
    </row>
    <row r="77" spans="3:6" x14ac:dyDescent="0.2">
      <c r="C77" s="6"/>
      <c r="F77" s="5"/>
    </row>
    <row r="78" spans="3:6" x14ac:dyDescent="0.2">
      <c r="C78" s="6"/>
      <c r="F78" s="5"/>
    </row>
    <row r="79" spans="3:6" x14ac:dyDescent="0.2">
      <c r="C79" s="6"/>
      <c r="F79" s="5"/>
    </row>
    <row r="80" spans="3:6" x14ac:dyDescent="0.2">
      <c r="C80" s="6"/>
      <c r="F80" s="5"/>
    </row>
    <row r="81" spans="3:6" x14ac:dyDescent="0.2">
      <c r="C81" s="6"/>
      <c r="F81" s="5"/>
    </row>
    <row r="82" spans="3:6" x14ac:dyDescent="0.2">
      <c r="C82" s="6"/>
      <c r="F82" s="5"/>
    </row>
    <row r="83" spans="3:6" x14ac:dyDescent="0.2">
      <c r="C83" s="6"/>
      <c r="F83" s="5"/>
    </row>
    <row r="84" spans="3:6" x14ac:dyDescent="0.2">
      <c r="C84" s="6"/>
      <c r="F84" s="5"/>
    </row>
    <row r="85" spans="3:6" x14ac:dyDescent="0.2">
      <c r="C85" s="6"/>
      <c r="F85" s="5"/>
    </row>
    <row r="86" spans="3:6" x14ac:dyDescent="0.2">
      <c r="C86" s="6"/>
      <c r="F86" s="5"/>
    </row>
    <row r="87" spans="3:6" x14ac:dyDescent="0.2">
      <c r="C87" s="6"/>
      <c r="F87" s="5"/>
    </row>
    <row r="88" spans="3:6" x14ac:dyDescent="0.2">
      <c r="C88" s="6"/>
      <c r="F88" s="5"/>
    </row>
    <row r="89" spans="3:6" x14ac:dyDescent="0.2">
      <c r="C89" s="6"/>
      <c r="F89" s="5"/>
    </row>
    <row r="90" spans="3:6" x14ac:dyDescent="0.2">
      <c r="C90" s="6"/>
      <c r="F90" s="5"/>
    </row>
    <row r="91" spans="3:6" x14ac:dyDescent="0.2">
      <c r="C91" s="6"/>
      <c r="F91" s="5"/>
    </row>
    <row r="92" spans="3:6" x14ac:dyDescent="0.2">
      <c r="C92" s="6"/>
      <c r="F92" s="5"/>
    </row>
    <row r="93" spans="3:6" x14ac:dyDescent="0.2">
      <c r="C93" s="6"/>
      <c r="F93" s="5"/>
    </row>
    <row r="94" spans="3:6" x14ac:dyDescent="0.2">
      <c r="C94" s="6"/>
      <c r="F94" s="5"/>
    </row>
    <row r="95" spans="3:6" x14ac:dyDescent="0.2">
      <c r="C95" s="6"/>
      <c r="F95" s="5"/>
    </row>
    <row r="96" spans="3:6" x14ac:dyDescent="0.2">
      <c r="C96" s="6"/>
      <c r="F96" s="5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9"/>
  <sheetViews>
    <sheetView workbookViewId="0"/>
  </sheetViews>
  <sheetFormatPr defaultColWidth="9.140625" defaultRowHeight="12" x14ac:dyDescent="0.2"/>
  <cols>
    <col min="1" max="1" width="2" style="2" customWidth="1"/>
    <col min="2" max="2" width="29.7109375" style="2" bestFit="1" customWidth="1"/>
    <col min="3" max="3" width="20.5703125" style="2" bestFit="1" customWidth="1"/>
    <col min="4" max="4" width="29.5703125" style="2" bestFit="1" customWidth="1"/>
    <col min="5" max="5" width="12" style="2" bestFit="1" customWidth="1"/>
    <col min="6" max="6" width="20" style="2" bestFit="1" customWidth="1"/>
    <col min="7" max="7" width="17.28515625" style="2" bestFit="1" customWidth="1"/>
    <col min="8" max="16384" width="9.140625" style="2"/>
  </cols>
  <sheetData>
    <row r="1" spans="2:7" ht="15.75" x14ac:dyDescent="0.25">
      <c r="B1" s="3" t="s">
        <v>113</v>
      </c>
    </row>
    <row r="4" spans="2:7" ht="15.75" thickBot="1" x14ac:dyDescent="0.3">
      <c r="B4" s="26" t="s">
        <v>99</v>
      </c>
      <c r="C4" s="26" t="s">
        <v>31</v>
      </c>
      <c r="D4" s="26" t="s">
        <v>100</v>
      </c>
      <c r="E4" s="26" t="s">
        <v>101</v>
      </c>
      <c r="F4" s="26" t="s">
        <v>102</v>
      </c>
      <c r="G4" s="26" t="s">
        <v>115</v>
      </c>
    </row>
    <row r="5" spans="2:7" x14ac:dyDescent="0.2">
      <c r="B5" s="6" t="s">
        <v>65</v>
      </c>
      <c r="C5" s="6">
        <v>105</v>
      </c>
      <c r="D5" s="6" t="s">
        <v>33</v>
      </c>
      <c r="E5" s="16">
        <v>-355396.61499999999</v>
      </c>
      <c r="F5" s="6">
        <v>2001110000</v>
      </c>
      <c r="G5" s="6" t="s">
        <v>173</v>
      </c>
    </row>
    <row r="6" spans="2:7" x14ac:dyDescent="0.2">
      <c r="B6" s="6" t="s">
        <v>65</v>
      </c>
      <c r="C6" s="6">
        <v>111111</v>
      </c>
      <c r="D6" s="6" t="s">
        <v>103</v>
      </c>
      <c r="E6" s="16">
        <v>-15792898.75</v>
      </c>
      <c r="F6" s="6">
        <v>2001110000</v>
      </c>
      <c r="G6" s="6" t="s">
        <v>116</v>
      </c>
    </row>
    <row r="7" spans="2:7" x14ac:dyDescent="0.2">
      <c r="B7" s="6" t="s">
        <v>66</v>
      </c>
      <c r="C7" s="6">
        <v>111111</v>
      </c>
      <c r="D7" s="6" t="s">
        <v>103</v>
      </c>
      <c r="E7" s="16">
        <v>-6960217.6449999996</v>
      </c>
      <c r="F7" s="6">
        <v>2001190000</v>
      </c>
      <c r="G7" s="6" t="s">
        <v>117</v>
      </c>
    </row>
    <row r="8" spans="2:7" x14ac:dyDescent="0.2">
      <c r="B8" s="6" t="s">
        <v>67</v>
      </c>
      <c r="C8" s="6" t="s">
        <v>10</v>
      </c>
      <c r="D8" s="6" t="s">
        <v>47</v>
      </c>
      <c r="E8" s="16">
        <v>-420017.14999999997</v>
      </c>
      <c r="F8" s="6">
        <v>2020000000</v>
      </c>
      <c r="G8" s="6" t="s">
        <v>174</v>
      </c>
    </row>
    <row r="9" spans="2:7" x14ac:dyDescent="0.2">
      <c r="B9" s="6" t="s">
        <v>67</v>
      </c>
      <c r="C9" s="6">
        <v>1007</v>
      </c>
      <c r="D9" s="6" t="s">
        <v>37</v>
      </c>
      <c r="E9" s="16">
        <v>-89234.880000000005</v>
      </c>
      <c r="F9" s="6">
        <v>2020000000</v>
      </c>
      <c r="G9" s="6" t="s">
        <v>119</v>
      </c>
    </row>
    <row r="10" spans="2:7" x14ac:dyDescent="0.2">
      <c r="B10" s="6" t="s">
        <v>67</v>
      </c>
      <c r="C10" s="6">
        <v>1008</v>
      </c>
      <c r="D10" s="6" t="s">
        <v>39</v>
      </c>
      <c r="E10" s="16">
        <v>-26173</v>
      </c>
      <c r="F10" s="6">
        <v>2020000000</v>
      </c>
      <c r="G10" s="6" t="s">
        <v>120</v>
      </c>
    </row>
    <row r="11" spans="2:7" x14ac:dyDescent="0.2">
      <c r="B11" s="6" t="s">
        <v>67</v>
      </c>
      <c r="C11" s="6">
        <v>111101</v>
      </c>
      <c r="D11" s="6" t="s">
        <v>0</v>
      </c>
      <c r="E11" s="16">
        <v>-209401.92</v>
      </c>
      <c r="F11" s="6">
        <v>2020000000</v>
      </c>
      <c r="G11" s="6" t="s">
        <v>121</v>
      </c>
    </row>
    <row r="12" spans="2:7" x14ac:dyDescent="0.2">
      <c r="B12" s="6" t="s">
        <v>105</v>
      </c>
      <c r="C12" s="6">
        <v>111111</v>
      </c>
      <c r="D12" s="6" t="s">
        <v>103</v>
      </c>
      <c r="E12" s="16">
        <v>14589.33</v>
      </c>
      <c r="F12" s="6">
        <v>2021210000</v>
      </c>
      <c r="G12" s="6" t="s">
        <v>175</v>
      </c>
    </row>
    <row r="13" spans="2:7" x14ac:dyDescent="0.2">
      <c r="B13" s="6" t="s">
        <v>104</v>
      </c>
      <c r="C13" s="6">
        <v>111111</v>
      </c>
      <c r="D13" s="6" t="s">
        <v>103</v>
      </c>
      <c r="E13" s="16">
        <v>5463188.8250000002</v>
      </c>
      <c r="F13" s="6">
        <v>2021900000</v>
      </c>
      <c r="G13" s="6" t="s">
        <v>122</v>
      </c>
    </row>
    <row r="14" spans="2:7" x14ac:dyDescent="0.2">
      <c r="B14" s="6" t="s">
        <v>69</v>
      </c>
      <c r="C14" s="6">
        <v>111111</v>
      </c>
      <c r="D14" s="6" t="s">
        <v>103</v>
      </c>
      <c r="E14" s="16">
        <v>343675</v>
      </c>
      <c r="F14" s="6">
        <v>2024080000</v>
      </c>
      <c r="G14" s="6" t="s">
        <v>123</v>
      </c>
    </row>
    <row r="15" spans="2:7" x14ac:dyDescent="0.2">
      <c r="B15" s="6" t="s">
        <v>68</v>
      </c>
      <c r="C15" s="6">
        <v>19</v>
      </c>
      <c r="D15" s="6" t="s">
        <v>41</v>
      </c>
      <c r="E15" s="16">
        <v>38521</v>
      </c>
      <c r="F15" s="6">
        <v>2024090000</v>
      </c>
      <c r="G15" s="6" t="s">
        <v>176</v>
      </c>
    </row>
    <row r="16" spans="2:7" x14ac:dyDescent="0.2">
      <c r="B16" s="6" t="s">
        <v>68</v>
      </c>
      <c r="C16" s="6">
        <v>88</v>
      </c>
      <c r="D16" s="6" t="s">
        <v>32</v>
      </c>
      <c r="E16" s="16">
        <v>1980162.23</v>
      </c>
      <c r="F16" s="6">
        <v>2024090000</v>
      </c>
      <c r="G16" s="6" t="s">
        <v>124</v>
      </c>
    </row>
    <row r="17" spans="2:7" x14ac:dyDescent="0.2">
      <c r="B17" s="6" t="s">
        <v>68</v>
      </c>
      <c r="C17" s="6" t="s">
        <v>11</v>
      </c>
      <c r="D17" s="6" t="s">
        <v>34</v>
      </c>
      <c r="E17" s="16">
        <v>1820</v>
      </c>
      <c r="F17" s="6">
        <v>2024090000</v>
      </c>
      <c r="G17" s="6" t="s">
        <v>177</v>
      </c>
    </row>
    <row r="18" spans="2:7" x14ac:dyDescent="0.2">
      <c r="B18" s="6" t="s">
        <v>68</v>
      </c>
      <c r="C18" s="6" t="s">
        <v>12</v>
      </c>
      <c r="D18" s="6" t="s">
        <v>36</v>
      </c>
      <c r="E18" s="16">
        <v>10448.129999999999</v>
      </c>
      <c r="F18" s="6">
        <v>2024090000</v>
      </c>
      <c r="G18" s="6" t="s">
        <v>178</v>
      </c>
    </row>
    <row r="19" spans="2:7" x14ac:dyDescent="0.2">
      <c r="B19" s="6" t="s">
        <v>68</v>
      </c>
      <c r="C19" s="6" t="s">
        <v>13</v>
      </c>
      <c r="D19" s="6" t="s">
        <v>49</v>
      </c>
      <c r="E19" s="16">
        <v>10412.5</v>
      </c>
      <c r="F19" s="6">
        <v>2024090000</v>
      </c>
      <c r="G19" s="6" t="s">
        <v>179</v>
      </c>
    </row>
    <row r="20" spans="2:7" x14ac:dyDescent="0.2">
      <c r="B20" s="6" t="s">
        <v>68</v>
      </c>
      <c r="C20" s="6">
        <v>111111</v>
      </c>
      <c r="D20" s="6" t="s">
        <v>103</v>
      </c>
      <c r="E20" s="16">
        <v>27148.625</v>
      </c>
      <c r="F20" s="6">
        <v>2024090000</v>
      </c>
      <c r="G20" s="6" t="s">
        <v>125</v>
      </c>
    </row>
    <row r="21" spans="2:7" x14ac:dyDescent="0.2">
      <c r="B21" s="6" t="s">
        <v>1</v>
      </c>
      <c r="C21" s="6">
        <v>111111</v>
      </c>
      <c r="D21" s="6" t="s">
        <v>103</v>
      </c>
      <c r="E21" s="16">
        <v>5507141.0549999997</v>
      </c>
      <c r="F21" s="6">
        <v>2041000000</v>
      </c>
      <c r="G21" s="6" t="s">
        <v>126</v>
      </c>
    </row>
    <row r="22" spans="2:7" x14ac:dyDescent="0.2">
      <c r="B22" s="6" t="s">
        <v>2</v>
      </c>
      <c r="C22" s="6">
        <v>111101</v>
      </c>
      <c r="D22" s="6" t="s">
        <v>0</v>
      </c>
      <c r="E22" s="16">
        <v>1752994.18</v>
      </c>
      <c r="F22" s="6">
        <v>2042000000</v>
      </c>
      <c r="G22" s="6" t="s">
        <v>127</v>
      </c>
    </row>
    <row r="23" spans="2:7" x14ac:dyDescent="0.2">
      <c r="B23" s="6" t="s">
        <v>70</v>
      </c>
      <c r="C23" s="6">
        <v>111101</v>
      </c>
      <c r="D23" s="6" t="s">
        <v>0</v>
      </c>
      <c r="E23" s="16">
        <v>304303.86000000004</v>
      </c>
      <c r="F23" s="6">
        <v>2042000000</v>
      </c>
      <c r="G23" s="6" t="s">
        <v>127</v>
      </c>
    </row>
    <row r="24" spans="2:7" x14ac:dyDescent="0.2">
      <c r="B24" s="6" t="s">
        <v>71</v>
      </c>
      <c r="C24" s="6">
        <v>111101</v>
      </c>
      <c r="D24" s="6" t="s">
        <v>0</v>
      </c>
      <c r="E24" s="16">
        <v>500500</v>
      </c>
      <c r="F24" s="6">
        <v>2045000000</v>
      </c>
      <c r="G24" s="6" t="s">
        <v>129</v>
      </c>
    </row>
    <row r="25" spans="2:7" x14ac:dyDescent="0.2">
      <c r="B25" s="6" t="s">
        <v>14</v>
      </c>
      <c r="C25" s="6">
        <v>111101</v>
      </c>
      <c r="D25" s="6" t="s">
        <v>0</v>
      </c>
      <c r="E25" s="16">
        <v>6919.8499999999995</v>
      </c>
      <c r="F25" s="6">
        <v>2049000000</v>
      </c>
      <c r="G25" s="6" t="s">
        <v>180</v>
      </c>
    </row>
    <row r="26" spans="2:7" x14ac:dyDescent="0.2">
      <c r="B26" s="6" t="s">
        <v>72</v>
      </c>
      <c r="C26" s="6">
        <v>111101</v>
      </c>
      <c r="D26" s="6" t="s">
        <v>0</v>
      </c>
      <c r="E26" s="16">
        <v>1897676.87</v>
      </c>
      <c r="F26" s="6">
        <v>2051210000</v>
      </c>
      <c r="G26" s="6" t="s">
        <v>130</v>
      </c>
    </row>
    <row r="27" spans="2:7" x14ac:dyDescent="0.2">
      <c r="B27" s="6" t="s">
        <v>72</v>
      </c>
      <c r="C27" s="6">
        <v>111101</v>
      </c>
      <c r="D27" s="6" t="s">
        <v>0</v>
      </c>
      <c r="E27" s="16">
        <v>146328.94499999998</v>
      </c>
      <c r="F27" s="6">
        <v>2051260000</v>
      </c>
      <c r="G27" s="6" t="s">
        <v>181</v>
      </c>
    </row>
    <row r="28" spans="2:7" x14ac:dyDescent="0.2">
      <c r="B28" s="6" t="s">
        <v>15</v>
      </c>
      <c r="C28" s="6">
        <v>111111</v>
      </c>
      <c r="D28" s="6" t="s">
        <v>103</v>
      </c>
      <c r="E28" s="16">
        <v>-121553.07499999998</v>
      </c>
      <c r="F28" s="6">
        <v>2060220000</v>
      </c>
      <c r="G28" s="6" t="s">
        <v>182</v>
      </c>
    </row>
    <row r="29" spans="2:7" x14ac:dyDescent="0.2">
      <c r="B29" s="6" t="s">
        <v>73</v>
      </c>
      <c r="C29" s="6" t="s">
        <v>3</v>
      </c>
      <c r="D29" s="6" t="s">
        <v>40</v>
      </c>
      <c r="E29" s="16">
        <v>-1643711.145</v>
      </c>
      <c r="F29" s="6">
        <v>2069010000</v>
      </c>
      <c r="G29" s="6" t="s">
        <v>132</v>
      </c>
    </row>
    <row r="30" spans="2:7" x14ac:dyDescent="0.2">
      <c r="B30" s="6" t="s">
        <v>73</v>
      </c>
      <c r="C30" s="6">
        <v>19</v>
      </c>
      <c r="D30" s="6" t="s">
        <v>41</v>
      </c>
      <c r="E30" s="16">
        <v>-416278.66</v>
      </c>
      <c r="F30" s="6">
        <v>2069010000</v>
      </c>
      <c r="G30" s="6" t="s">
        <v>183</v>
      </c>
    </row>
    <row r="31" spans="2:7" x14ac:dyDescent="0.2">
      <c r="B31" s="6" t="s">
        <v>73</v>
      </c>
      <c r="C31" s="6" t="s">
        <v>16</v>
      </c>
      <c r="D31" s="6" t="s">
        <v>51</v>
      </c>
      <c r="E31" s="16">
        <v>-364243.84499999997</v>
      </c>
      <c r="F31" s="6">
        <v>2069010000</v>
      </c>
      <c r="G31" s="6" t="s">
        <v>184</v>
      </c>
    </row>
    <row r="32" spans="2:7" x14ac:dyDescent="0.2">
      <c r="B32" s="6" t="s">
        <v>73</v>
      </c>
      <c r="C32" s="6" t="s">
        <v>10</v>
      </c>
      <c r="D32" s="6" t="s">
        <v>47</v>
      </c>
      <c r="E32" s="16">
        <v>0</v>
      </c>
      <c r="F32" s="6">
        <v>2069010000</v>
      </c>
      <c r="G32" s="6" t="s">
        <v>185</v>
      </c>
    </row>
    <row r="33" spans="2:7" x14ac:dyDescent="0.2">
      <c r="B33" s="6" t="s">
        <v>73</v>
      </c>
      <c r="C33" s="6">
        <v>1009</v>
      </c>
      <c r="D33" s="6" t="s">
        <v>35</v>
      </c>
      <c r="E33" s="16">
        <v>0</v>
      </c>
      <c r="F33" s="6">
        <v>2069010000</v>
      </c>
      <c r="G33" s="6" t="s">
        <v>136</v>
      </c>
    </row>
    <row r="34" spans="2:7" x14ac:dyDescent="0.2">
      <c r="B34" s="6" t="s">
        <v>73</v>
      </c>
      <c r="C34" s="6">
        <v>1007</v>
      </c>
      <c r="D34" s="6" t="s">
        <v>37</v>
      </c>
      <c r="E34" s="16">
        <v>0</v>
      </c>
      <c r="F34" s="6">
        <v>2069010000</v>
      </c>
      <c r="G34" s="6" t="s">
        <v>137</v>
      </c>
    </row>
    <row r="35" spans="2:7" x14ac:dyDescent="0.2">
      <c r="B35" s="6" t="s">
        <v>73</v>
      </c>
      <c r="C35" s="6">
        <v>1008</v>
      </c>
      <c r="D35" s="6" t="s">
        <v>39</v>
      </c>
      <c r="E35" s="16">
        <v>0</v>
      </c>
      <c r="F35" s="6">
        <v>2069010000</v>
      </c>
      <c r="G35" s="6" t="s">
        <v>138</v>
      </c>
    </row>
    <row r="36" spans="2:7" x14ac:dyDescent="0.2">
      <c r="B36" s="6" t="s">
        <v>73</v>
      </c>
      <c r="C36" s="6">
        <v>1240</v>
      </c>
      <c r="D36" s="6" t="s">
        <v>44</v>
      </c>
      <c r="E36" s="16">
        <v>-10461.36</v>
      </c>
      <c r="F36" s="6">
        <v>2069010000</v>
      </c>
      <c r="G36" s="6" t="s">
        <v>139</v>
      </c>
    </row>
    <row r="37" spans="2:7" x14ac:dyDescent="0.2">
      <c r="B37" s="6" t="s">
        <v>73</v>
      </c>
      <c r="C37" s="6">
        <v>1007</v>
      </c>
      <c r="D37" s="6" t="s">
        <v>38</v>
      </c>
      <c r="E37" s="16">
        <v>0</v>
      </c>
      <c r="F37" s="6">
        <v>2069010000</v>
      </c>
      <c r="G37" s="6" t="s">
        <v>137</v>
      </c>
    </row>
    <row r="38" spans="2:7" x14ac:dyDescent="0.2">
      <c r="B38" s="6" t="s">
        <v>73</v>
      </c>
      <c r="C38" s="6" t="s">
        <v>17</v>
      </c>
      <c r="D38" s="6" t="s">
        <v>52</v>
      </c>
      <c r="E38" s="16">
        <v>-482611.04499999998</v>
      </c>
      <c r="F38" s="6">
        <v>2069010000</v>
      </c>
      <c r="G38" s="6" t="s">
        <v>186</v>
      </c>
    </row>
    <row r="39" spans="2:7" x14ac:dyDescent="0.2">
      <c r="B39" s="6" t="s">
        <v>73</v>
      </c>
      <c r="C39" s="6">
        <v>111111</v>
      </c>
      <c r="D39" s="6" t="s">
        <v>103</v>
      </c>
      <c r="E39" s="16">
        <v>-6785.94</v>
      </c>
      <c r="F39" s="6">
        <v>2069010000</v>
      </c>
      <c r="G39" s="6" t="s">
        <v>140</v>
      </c>
    </row>
    <row r="40" spans="2:7" x14ac:dyDescent="0.2">
      <c r="B40" s="6" t="s">
        <v>74</v>
      </c>
      <c r="C40" s="6">
        <v>88</v>
      </c>
      <c r="D40" s="6" t="s">
        <v>32</v>
      </c>
      <c r="E40" s="16">
        <v>-2436.35</v>
      </c>
      <c r="F40" s="6">
        <v>2069980000</v>
      </c>
      <c r="G40" s="6" t="s">
        <v>187</v>
      </c>
    </row>
    <row r="41" spans="2:7" x14ac:dyDescent="0.2">
      <c r="B41" s="6" t="s">
        <v>74</v>
      </c>
      <c r="C41" s="6">
        <v>111111</v>
      </c>
      <c r="D41" s="6" t="s">
        <v>103</v>
      </c>
      <c r="E41" s="16">
        <v>9793.84</v>
      </c>
      <c r="F41" s="6">
        <v>2069980000</v>
      </c>
      <c r="G41" s="6" t="s">
        <v>141</v>
      </c>
    </row>
    <row r="42" spans="2:7" x14ac:dyDescent="0.2">
      <c r="B42" s="6" t="s">
        <v>18</v>
      </c>
      <c r="C42" s="6">
        <v>111101</v>
      </c>
      <c r="D42" s="6" t="s">
        <v>0</v>
      </c>
      <c r="E42" s="16">
        <v>81.339999999999989</v>
      </c>
      <c r="F42" s="6">
        <v>2070290000</v>
      </c>
      <c r="G42" s="6" t="s">
        <v>188</v>
      </c>
    </row>
    <row r="43" spans="2:7" x14ac:dyDescent="0.2">
      <c r="B43" s="6" t="s">
        <v>75</v>
      </c>
      <c r="C43" s="6">
        <v>111111</v>
      </c>
      <c r="D43" s="6" t="s">
        <v>103</v>
      </c>
      <c r="E43" s="16">
        <v>65947.7</v>
      </c>
      <c r="F43" s="6">
        <v>2070400000</v>
      </c>
      <c r="G43" s="6" t="s">
        <v>142</v>
      </c>
    </row>
    <row r="44" spans="2:7" x14ac:dyDescent="0.2">
      <c r="B44" s="6" t="s">
        <v>76</v>
      </c>
      <c r="C44" s="6">
        <v>111111</v>
      </c>
      <c r="D44" s="6" t="s">
        <v>103</v>
      </c>
      <c r="E44" s="16">
        <v>5138.91</v>
      </c>
      <c r="F44" s="6">
        <v>2070500000</v>
      </c>
      <c r="G44" s="6" t="s">
        <v>144</v>
      </c>
    </row>
    <row r="45" spans="2:7" x14ac:dyDescent="0.2">
      <c r="B45" s="6" t="s">
        <v>77</v>
      </c>
      <c r="C45" s="6">
        <v>111111</v>
      </c>
      <c r="D45" s="6" t="s">
        <v>103</v>
      </c>
      <c r="E45" s="16">
        <v>1055381.4750000001</v>
      </c>
      <c r="F45" s="6">
        <v>2070600000</v>
      </c>
      <c r="G45" s="6" t="s">
        <v>145</v>
      </c>
    </row>
    <row r="46" spans="2:7" x14ac:dyDescent="0.2">
      <c r="B46" s="6" t="s">
        <v>78</v>
      </c>
      <c r="C46" s="6" t="s">
        <v>6</v>
      </c>
      <c r="D46" s="6" t="s">
        <v>43</v>
      </c>
      <c r="E46" s="16">
        <v>430845.34499999997</v>
      </c>
      <c r="F46" s="6">
        <v>2070900000</v>
      </c>
      <c r="G46" s="6" t="s">
        <v>147</v>
      </c>
    </row>
    <row r="47" spans="2:7" x14ac:dyDescent="0.2">
      <c r="B47" s="6" t="s">
        <v>78</v>
      </c>
      <c r="C47" s="6">
        <v>105</v>
      </c>
      <c r="D47" s="6" t="s">
        <v>33</v>
      </c>
      <c r="E47" s="16">
        <v>276920</v>
      </c>
      <c r="F47" s="6">
        <v>2070900000</v>
      </c>
      <c r="G47" s="6" t="s">
        <v>189</v>
      </c>
    </row>
    <row r="48" spans="2:7" x14ac:dyDescent="0.2">
      <c r="B48" s="6" t="s">
        <v>78</v>
      </c>
      <c r="C48" s="6">
        <v>111111</v>
      </c>
      <c r="D48" s="6" t="s">
        <v>103</v>
      </c>
      <c r="E48" s="16">
        <v>1130021</v>
      </c>
      <c r="F48" s="6">
        <v>2070900000</v>
      </c>
      <c r="G48" s="6" t="s">
        <v>148</v>
      </c>
    </row>
    <row r="49" spans="2:7" x14ac:dyDescent="0.2">
      <c r="B49" s="6" t="s">
        <v>7</v>
      </c>
      <c r="C49" s="6">
        <v>111111</v>
      </c>
      <c r="D49" s="6" t="s">
        <v>103</v>
      </c>
      <c r="E49" s="16">
        <v>7293.5450000000001</v>
      </c>
      <c r="F49" s="6">
        <v>2071000000</v>
      </c>
      <c r="G49" s="6" t="s">
        <v>149</v>
      </c>
    </row>
    <row r="50" spans="2:7" x14ac:dyDescent="0.2">
      <c r="B50" s="6" t="s">
        <v>79</v>
      </c>
      <c r="C50" s="6">
        <v>1900</v>
      </c>
      <c r="D50" s="6" t="s">
        <v>53</v>
      </c>
      <c r="E50" s="16">
        <v>0</v>
      </c>
      <c r="F50" s="6">
        <v>2071100000</v>
      </c>
      <c r="G50" s="6" t="s">
        <v>190</v>
      </c>
    </row>
    <row r="51" spans="2:7" x14ac:dyDescent="0.2">
      <c r="B51" s="6" t="s">
        <v>79</v>
      </c>
      <c r="C51" s="6">
        <v>111111</v>
      </c>
      <c r="D51" s="6" t="s">
        <v>103</v>
      </c>
      <c r="E51" s="16">
        <v>48468.665000000001</v>
      </c>
      <c r="F51" s="6">
        <v>2071100000</v>
      </c>
      <c r="G51" s="6" t="s">
        <v>150</v>
      </c>
    </row>
    <row r="52" spans="2:7" x14ac:dyDescent="0.2">
      <c r="B52" s="6" t="s">
        <v>8</v>
      </c>
      <c r="C52" s="6" t="s">
        <v>19</v>
      </c>
      <c r="D52" s="6" t="s">
        <v>55</v>
      </c>
      <c r="E52" s="16">
        <v>23928.799999999999</v>
      </c>
      <c r="F52" s="6">
        <v>2071209200</v>
      </c>
      <c r="G52" s="6" t="s">
        <v>191</v>
      </c>
    </row>
    <row r="53" spans="2:7" x14ac:dyDescent="0.2">
      <c r="B53" s="6" t="s">
        <v>8</v>
      </c>
      <c r="C53" s="6">
        <v>111111</v>
      </c>
      <c r="D53" s="6" t="s">
        <v>103</v>
      </c>
      <c r="E53" s="16">
        <v>2393259.19</v>
      </c>
      <c r="F53" s="6">
        <v>2071209200</v>
      </c>
      <c r="G53" s="6" t="s">
        <v>151</v>
      </c>
    </row>
    <row r="54" spans="2:7" x14ac:dyDescent="0.2">
      <c r="B54" s="6" t="s">
        <v>80</v>
      </c>
      <c r="C54" s="6">
        <v>111111</v>
      </c>
      <c r="D54" s="6" t="s">
        <v>103</v>
      </c>
      <c r="E54" s="16">
        <v>23069.654999999999</v>
      </c>
      <c r="F54" s="6">
        <v>2071209400</v>
      </c>
      <c r="G54" s="6" t="s">
        <v>152</v>
      </c>
    </row>
    <row r="55" spans="2:7" x14ac:dyDescent="0.2">
      <c r="B55" s="6" t="s">
        <v>81</v>
      </c>
      <c r="C55" s="6">
        <v>111111</v>
      </c>
      <c r="D55" s="6" t="s">
        <v>103</v>
      </c>
      <c r="E55" s="16">
        <v>208366.935</v>
      </c>
      <c r="F55" s="6">
        <v>2071209500</v>
      </c>
      <c r="G55" s="6" t="s">
        <v>153</v>
      </c>
    </row>
    <row r="56" spans="2:7" x14ac:dyDescent="0.2">
      <c r="B56" s="6" t="s">
        <v>20</v>
      </c>
      <c r="C56" s="6">
        <v>111111</v>
      </c>
      <c r="D56" s="6" t="s">
        <v>103</v>
      </c>
      <c r="E56" s="16">
        <v>308232</v>
      </c>
      <c r="F56" s="6">
        <v>2071220000</v>
      </c>
      <c r="G56" s="6" t="s">
        <v>192</v>
      </c>
    </row>
    <row r="57" spans="2:7" x14ac:dyDescent="0.2">
      <c r="B57" s="6" t="s">
        <v>21</v>
      </c>
      <c r="C57" s="6">
        <v>19</v>
      </c>
      <c r="D57" s="6" t="s">
        <v>41</v>
      </c>
      <c r="E57" s="16">
        <v>13422.779999999999</v>
      </c>
      <c r="F57" s="6">
        <v>2071511000</v>
      </c>
      <c r="G57" s="6" t="s">
        <v>193</v>
      </c>
    </row>
    <row r="58" spans="2:7" x14ac:dyDescent="0.2">
      <c r="B58" s="6" t="s">
        <v>21</v>
      </c>
      <c r="C58" s="6">
        <v>111111</v>
      </c>
      <c r="D58" s="6" t="s">
        <v>103</v>
      </c>
      <c r="E58" s="16">
        <v>4045.6150000000002</v>
      </c>
      <c r="F58" s="6">
        <v>2071511000</v>
      </c>
      <c r="G58" s="6" t="s">
        <v>194</v>
      </c>
    </row>
    <row r="59" spans="2:7" x14ac:dyDescent="0.2">
      <c r="B59" s="6" t="s">
        <v>22</v>
      </c>
      <c r="C59" s="6">
        <v>111111</v>
      </c>
      <c r="D59" s="6" t="s">
        <v>103</v>
      </c>
      <c r="E59" s="16">
        <v>49621.144999999997</v>
      </c>
      <c r="F59" s="6">
        <v>2071910000</v>
      </c>
      <c r="G59" s="6" t="s">
        <v>195</v>
      </c>
    </row>
    <row r="60" spans="2:7" x14ac:dyDescent="0.2">
      <c r="B60" s="6" t="s">
        <v>82</v>
      </c>
      <c r="C60" s="6">
        <v>111101</v>
      </c>
      <c r="D60" s="6" t="s">
        <v>0</v>
      </c>
      <c r="E60" s="16">
        <v>20323.309999999998</v>
      </c>
      <c r="F60" s="6">
        <v>2071980000</v>
      </c>
      <c r="G60" s="6" t="s">
        <v>154</v>
      </c>
    </row>
    <row r="61" spans="2:7" x14ac:dyDescent="0.2">
      <c r="B61" s="6" t="s">
        <v>83</v>
      </c>
      <c r="C61" s="6">
        <v>111111</v>
      </c>
      <c r="D61" s="6" t="s">
        <v>103</v>
      </c>
      <c r="E61" s="16">
        <v>169489</v>
      </c>
      <c r="F61" s="6">
        <v>2079022000</v>
      </c>
      <c r="G61" s="6" t="s">
        <v>155</v>
      </c>
    </row>
    <row r="62" spans="2:7" x14ac:dyDescent="0.2">
      <c r="B62" s="6" t="s">
        <v>84</v>
      </c>
      <c r="C62" s="6">
        <v>19</v>
      </c>
      <c r="D62" s="6" t="s">
        <v>41</v>
      </c>
      <c r="E62" s="16">
        <v>85462.684999999998</v>
      </c>
      <c r="F62" s="6">
        <v>2079070000</v>
      </c>
      <c r="G62" s="6" t="s">
        <v>196</v>
      </c>
    </row>
    <row r="63" spans="2:7" x14ac:dyDescent="0.2">
      <c r="B63" s="6" t="s">
        <v>84</v>
      </c>
      <c r="C63" s="6" t="s">
        <v>5</v>
      </c>
      <c r="D63" s="6" t="s">
        <v>42</v>
      </c>
      <c r="E63" s="16">
        <v>11422.144999999999</v>
      </c>
      <c r="F63" s="6">
        <v>2079070000</v>
      </c>
      <c r="G63" s="6" t="s">
        <v>197</v>
      </c>
    </row>
    <row r="64" spans="2:7" x14ac:dyDescent="0.2">
      <c r="B64" s="6" t="s">
        <v>84</v>
      </c>
      <c r="C64" s="6" t="s">
        <v>12</v>
      </c>
      <c r="D64" s="6" t="s">
        <v>36</v>
      </c>
      <c r="E64" s="16">
        <v>84438.864999999991</v>
      </c>
      <c r="F64" s="6">
        <v>2079070000</v>
      </c>
      <c r="G64" s="6" t="s">
        <v>198</v>
      </c>
    </row>
    <row r="65" spans="2:7" x14ac:dyDescent="0.2">
      <c r="B65" s="6" t="s">
        <v>84</v>
      </c>
      <c r="C65" s="6">
        <v>111111</v>
      </c>
      <c r="D65" s="6" t="s">
        <v>103</v>
      </c>
      <c r="E65" s="16">
        <v>638869.13</v>
      </c>
      <c r="F65" s="6">
        <v>2079070000</v>
      </c>
      <c r="G65" s="6" t="s">
        <v>157</v>
      </c>
    </row>
    <row r="66" spans="2:7" x14ac:dyDescent="0.2">
      <c r="B66" s="6" t="s">
        <v>85</v>
      </c>
      <c r="C66" s="6" t="s">
        <v>10</v>
      </c>
      <c r="D66" s="6" t="s">
        <v>47</v>
      </c>
      <c r="E66" s="16">
        <v>0</v>
      </c>
      <c r="F66" s="6">
        <v>2079080000</v>
      </c>
      <c r="G66" s="6" t="s">
        <v>199</v>
      </c>
    </row>
    <row r="67" spans="2:7" x14ac:dyDescent="0.2">
      <c r="B67" s="6" t="s">
        <v>85</v>
      </c>
      <c r="C67" s="6">
        <v>1007</v>
      </c>
      <c r="D67" s="6" t="s">
        <v>37</v>
      </c>
      <c r="E67" s="16">
        <v>0</v>
      </c>
      <c r="F67" s="6">
        <v>2079080000</v>
      </c>
      <c r="G67" s="6" t="s">
        <v>159</v>
      </c>
    </row>
    <row r="68" spans="2:7" x14ac:dyDescent="0.2">
      <c r="B68" s="6" t="s">
        <v>85</v>
      </c>
      <c r="C68" s="6">
        <v>1008</v>
      </c>
      <c r="D68" s="6" t="s">
        <v>39</v>
      </c>
      <c r="E68" s="16">
        <v>0</v>
      </c>
      <c r="F68" s="6">
        <v>2079080000</v>
      </c>
      <c r="G68" s="6" t="s">
        <v>160</v>
      </c>
    </row>
    <row r="69" spans="2:7" x14ac:dyDescent="0.2">
      <c r="B69" s="6" t="s">
        <v>86</v>
      </c>
      <c r="C69" s="6" t="s">
        <v>10</v>
      </c>
      <c r="D69" s="6" t="s">
        <v>47</v>
      </c>
      <c r="E69" s="16">
        <v>0</v>
      </c>
      <c r="F69" s="6">
        <v>2082280000</v>
      </c>
      <c r="G69" s="6" t="s">
        <v>200</v>
      </c>
    </row>
    <row r="70" spans="2:7" x14ac:dyDescent="0.2">
      <c r="B70" s="6" t="s">
        <v>86</v>
      </c>
      <c r="C70" s="6">
        <v>1009</v>
      </c>
      <c r="D70" s="6" t="s">
        <v>35</v>
      </c>
      <c r="E70" s="16">
        <v>0</v>
      </c>
      <c r="F70" s="6">
        <v>2082280000</v>
      </c>
      <c r="G70" s="6" t="s">
        <v>161</v>
      </c>
    </row>
    <row r="71" spans="2:7" x14ac:dyDescent="0.2">
      <c r="B71" s="6" t="s">
        <v>86</v>
      </c>
      <c r="C71" s="6">
        <v>1007</v>
      </c>
      <c r="D71" s="6" t="s">
        <v>37</v>
      </c>
      <c r="E71" s="16">
        <v>0</v>
      </c>
      <c r="F71" s="6">
        <v>2082280000</v>
      </c>
      <c r="G71" s="6" t="s">
        <v>162</v>
      </c>
    </row>
    <row r="72" spans="2:7" x14ac:dyDescent="0.2">
      <c r="B72" s="6" t="s">
        <v>86</v>
      </c>
      <c r="C72" s="6">
        <v>1008</v>
      </c>
      <c r="D72" s="6" t="s">
        <v>39</v>
      </c>
      <c r="E72" s="16">
        <v>0</v>
      </c>
      <c r="F72" s="6">
        <v>2082280000</v>
      </c>
      <c r="G72" s="6" t="s">
        <v>163</v>
      </c>
    </row>
    <row r="73" spans="2:7" x14ac:dyDescent="0.2">
      <c r="B73" s="6" t="s">
        <v>86</v>
      </c>
      <c r="C73" s="6">
        <v>1240</v>
      </c>
      <c r="D73" s="6" t="s">
        <v>44</v>
      </c>
      <c r="E73" s="16">
        <v>-34224.959999999999</v>
      </c>
      <c r="F73" s="6">
        <v>2082280000</v>
      </c>
      <c r="G73" s="6" t="s">
        <v>164</v>
      </c>
    </row>
    <row r="74" spans="2:7" x14ac:dyDescent="0.2">
      <c r="B74" s="6" t="s">
        <v>86</v>
      </c>
      <c r="C74" s="6">
        <v>1006</v>
      </c>
      <c r="D74" s="6" t="s">
        <v>54</v>
      </c>
      <c r="E74" s="16">
        <v>-6778.415</v>
      </c>
      <c r="F74" s="6">
        <v>2082280000</v>
      </c>
      <c r="G74" s="6" t="s">
        <v>201</v>
      </c>
    </row>
    <row r="75" spans="2:7" x14ac:dyDescent="0.2">
      <c r="B75" s="6" t="s">
        <v>86</v>
      </c>
      <c r="C75" s="6">
        <v>1007</v>
      </c>
      <c r="D75" s="6" t="s">
        <v>38</v>
      </c>
      <c r="E75" s="16">
        <v>0</v>
      </c>
      <c r="F75" s="6">
        <v>2082280000</v>
      </c>
      <c r="G75" s="6" t="s">
        <v>162</v>
      </c>
    </row>
    <row r="76" spans="2:7" x14ac:dyDescent="0.2">
      <c r="B76" s="6" t="s">
        <v>86</v>
      </c>
      <c r="C76" s="6">
        <v>111111</v>
      </c>
      <c r="D76" s="6" t="s">
        <v>103</v>
      </c>
      <c r="E76" s="16">
        <v>-2204.7199999999998</v>
      </c>
      <c r="F76" s="6">
        <v>2082280000</v>
      </c>
      <c r="G76" s="6" t="s">
        <v>165</v>
      </c>
    </row>
    <row r="77" spans="2:7" x14ac:dyDescent="0.2">
      <c r="B77" s="6" t="s">
        <v>87</v>
      </c>
      <c r="C77" s="6">
        <v>111101</v>
      </c>
      <c r="D77" s="6" t="s">
        <v>0</v>
      </c>
      <c r="E77" s="16">
        <v>80617.179999999993</v>
      </c>
      <c r="F77" s="6">
        <v>2082208200</v>
      </c>
      <c r="G77" s="6" t="s">
        <v>167</v>
      </c>
    </row>
    <row r="78" spans="2:7" x14ac:dyDescent="0.2">
      <c r="B78" s="6" t="s">
        <v>88</v>
      </c>
      <c r="C78" s="6">
        <v>88</v>
      </c>
      <c r="D78" s="6" t="s">
        <v>32</v>
      </c>
      <c r="E78" s="16">
        <v>2752704.22</v>
      </c>
      <c r="F78" s="6">
        <v>2082214000</v>
      </c>
      <c r="G78" s="6" t="s">
        <v>168</v>
      </c>
    </row>
    <row r="79" spans="2:7" x14ac:dyDescent="0.2">
      <c r="B79" s="6" t="s">
        <v>88</v>
      </c>
      <c r="C79" s="6">
        <v>1007</v>
      </c>
      <c r="D79" s="6" t="s">
        <v>38</v>
      </c>
      <c r="E79" s="16">
        <v>0</v>
      </c>
      <c r="F79" s="6">
        <v>2082214000</v>
      </c>
      <c r="G79" s="6" t="s">
        <v>202</v>
      </c>
    </row>
    <row r="80" spans="2:7" x14ac:dyDescent="0.2">
      <c r="B80" s="6" t="s">
        <v>88</v>
      </c>
      <c r="C80" s="6">
        <v>111111</v>
      </c>
      <c r="D80" s="6" t="s">
        <v>103</v>
      </c>
      <c r="E80" s="16">
        <v>1250.7950000000001</v>
      </c>
      <c r="F80" s="6">
        <v>2082214000</v>
      </c>
      <c r="G80" s="6" t="s">
        <v>203</v>
      </c>
    </row>
    <row r="81" spans="2:7" x14ac:dyDescent="0.2">
      <c r="B81" s="6" t="s">
        <v>106</v>
      </c>
      <c r="C81" s="6">
        <v>1240</v>
      </c>
      <c r="D81" s="6" t="s">
        <v>44</v>
      </c>
      <c r="E81" s="16">
        <v>4130000</v>
      </c>
      <c r="F81" s="6">
        <v>2082110000</v>
      </c>
      <c r="G81" s="6" t="s">
        <v>204</v>
      </c>
    </row>
    <row r="82" spans="2:7" x14ac:dyDescent="0.2">
      <c r="B82" s="6" t="s">
        <v>89</v>
      </c>
      <c r="C82" s="6">
        <v>111101</v>
      </c>
      <c r="D82" s="6" t="s">
        <v>0</v>
      </c>
      <c r="E82" s="16">
        <v>496748.70000000007</v>
      </c>
      <c r="F82" s="6">
        <v>2091200000</v>
      </c>
      <c r="G82" s="6" t="s">
        <v>169</v>
      </c>
    </row>
    <row r="83" spans="2:7" x14ac:dyDescent="0.2">
      <c r="B83" s="6" t="s">
        <v>90</v>
      </c>
      <c r="C83" s="6">
        <v>111101</v>
      </c>
      <c r="D83" s="6" t="s">
        <v>0</v>
      </c>
      <c r="E83" s="16">
        <v>480872.96000000002</v>
      </c>
      <c r="F83" s="6">
        <v>2091200001</v>
      </c>
      <c r="G83" s="6" t="s">
        <v>170</v>
      </c>
    </row>
    <row r="84" spans="2:7" x14ac:dyDescent="0.2">
      <c r="B84" s="6" t="s">
        <v>23</v>
      </c>
      <c r="C84" s="6">
        <v>111101</v>
      </c>
      <c r="D84" s="6" t="s">
        <v>0</v>
      </c>
      <c r="E84" s="16">
        <v>0</v>
      </c>
      <c r="F84" s="6">
        <v>2091900000</v>
      </c>
      <c r="G84" s="6" t="s">
        <v>205</v>
      </c>
    </row>
    <row r="85" spans="2:7" x14ac:dyDescent="0.2">
      <c r="B85" s="6" t="s">
        <v>91</v>
      </c>
      <c r="C85" s="6">
        <v>111101</v>
      </c>
      <c r="D85" s="6" t="s">
        <v>0</v>
      </c>
      <c r="E85" s="16">
        <v>6570.3050000000003</v>
      </c>
      <c r="F85" s="6">
        <v>2092200000</v>
      </c>
      <c r="G85" s="6" t="s">
        <v>171</v>
      </c>
    </row>
    <row r="86" spans="2:7" x14ac:dyDescent="0.2">
      <c r="B86" s="18" t="s">
        <v>64</v>
      </c>
      <c r="C86" s="18">
        <v>111101</v>
      </c>
      <c r="D86" s="18" t="s">
        <v>0</v>
      </c>
      <c r="E86" s="19">
        <v>6073808.1600000001</v>
      </c>
      <c r="F86" s="18">
        <v>2111111999</v>
      </c>
      <c r="G86" s="6" t="s">
        <v>206</v>
      </c>
    </row>
    <row r="87" spans="2:7" x14ac:dyDescent="0.2">
      <c r="C87" s="6"/>
    </row>
    <row r="88" spans="2:7" x14ac:dyDescent="0.2">
      <c r="C88" s="6"/>
    </row>
    <row r="89" spans="2:7" x14ac:dyDescent="0.2">
      <c r="C89" s="6"/>
    </row>
    <row r="90" spans="2:7" x14ac:dyDescent="0.2">
      <c r="C90" s="6"/>
    </row>
    <row r="91" spans="2:7" x14ac:dyDescent="0.2">
      <c r="C91" s="6"/>
    </row>
    <row r="92" spans="2:7" x14ac:dyDescent="0.2">
      <c r="C92" s="6"/>
    </row>
    <row r="93" spans="2:7" x14ac:dyDescent="0.2">
      <c r="C93" s="6"/>
    </row>
    <row r="94" spans="2:7" x14ac:dyDescent="0.2">
      <c r="C94" s="6"/>
    </row>
    <row r="95" spans="2:7" x14ac:dyDescent="0.2">
      <c r="C95" s="6"/>
    </row>
    <row r="96" spans="2:7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117"/>
  <sheetViews>
    <sheetView workbookViewId="0"/>
  </sheetViews>
  <sheetFormatPr defaultColWidth="9.140625" defaultRowHeight="12" x14ac:dyDescent="0.2"/>
  <cols>
    <col min="1" max="1" width="2" style="2" customWidth="1"/>
    <col min="2" max="2" width="38.5703125" style="2" bestFit="1" customWidth="1"/>
    <col min="3" max="3" width="20.5703125" style="2" bestFit="1" customWidth="1"/>
    <col min="4" max="4" width="29.5703125" style="2" bestFit="1" customWidth="1"/>
    <col min="5" max="5" width="12" style="2" bestFit="1" customWidth="1"/>
    <col min="6" max="6" width="20" style="2" bestFit="1" customWidth="1"/>
    <col min="7" max="7" width="17.28515625" style="2" bestFit="1" customWidth="1"/>
    <col min="8" max="16384" width="9.140625" style="2"/>
  </cols>
  <sheetData>
    <row r="1" spans="2:7" ht="15.75" x14ac:dyDescent="0.25">
      <c r="B1" s="3" t="s">
        <v>114</v>
      </c>
    </row>
    <row r="4" spans="2:7" ht="15.75" thickBot="1" x14ac:dyDescent="0.3">
      <c r="B4" s="26" t="s">
        <v>99</v>
      </c>
      <c r="C4" s="26" t="s">
        <v>31</v>
      </c>
      <c r="D4" s="26" t="s">
        <v>100</v>
      </c>
      <c r="E4" s="26" t="s">
        <v>101</v>
      </c>
      <c r="F4" s="26" t="s">
        <v>102</v>
      </c>
      <c r="G4" s="26" t="s">
        <v>115</v>
      </c>
    </row>
    <row r="5" spans="2:7" x14ac:dyDescent="0.2">
      <c r="B5" s="6" t="s">
        <v>65</v>
      </c>
      <c r="C5" s="6">
        <v>105</v>
      </c>
      <c r="D5" s="6" t="s">
        <v>33</v>
      </c>
      <c r="E5" s="21">
        <v>-616462.01899999997</v>
      </c>
      <c r="F5" s="6">
        <v>2001110000</v>
      </c>
      <c r="G5" s="2" t="s">
        <v>173</v>
      </c>
    </row>
    <row r="6" spans="2:7" x14ac:dyDescent="0.2">
      <c r="B6" s="2" t="s">
        <v>65</v>
      </c>
      <c r="C6" s="6">
        <v>111111</v>
      </c>
      <c r="D6" s="2" t="s">
        <v>103</v>
      </c>
      <c r="E6" s="22">
        <v>-14431341</v>
      </c>
      <c r="F6" s="17">
        <v>2001110000</v>
      </c>
      <c r="G6" s="2" t="s">
        <v>116</v>
      </c>
    </row>
    <row r="7" spans="2:7" x14ac:dyDescent="0.2">
      <c r="B7" s="6" t="s">
        <v>66</v>
      </c>
      <c r="C7" s="6">
        <v>111111</v>
      </c>
      <c r="D7" s="6" t="s">
        <v>103</v>
      </c>
      <c r="E7" s="16">
        <v>-6373617.5140000004</v>
      </c>
      <c r="F7" s="6">
        <v>2001190000</v>
      </c>
      <c r="G7" s="2" t="s">
        <v>117</v>
      </c>
    </row>
    <row r="8" spans="2:7" x14ac:dyDescent="0.2">
      <c r="B8" s="6" t="s">
        <v>107</v>
      </c>
      <c r="C8" s="6">
        <v>111111</v>
      </c>
      <c r="D8" s="6" t="s">
        <v>103</v>
      </c>
      <c r="E8" s="16">
        <v>20504.509999999998</v>
      </c>
      <c r="F8" s="6">
        <v>2021210000</v>
      </c>
      <c r="G8" s="2" t="s">
        <v>175</v>
      </c>
    </row>
    <row r="9" spans="2:7" x14ac:dyDescent="0.2">
      <c r="B9" s="6" t="s">
        <v>104</v>
      </c>
      <c r="C9" s="6">
        <v>111111</v>
      </c>
      <c r="D9" s="6" t="s">
        <v>103</v>
      </c>
      <c r="E9" s="16">
        <v>5674152.0669999998</v>
      </c>
      <c r="F9" s="6">
        <v>2021900000</v>
      </c>
      <c r="G9" s="2" t="s">
        <v>122</v>
      </c>
    </row>
    <row r="10" spans="2:7" x14ac:dyDescent="0.2">
      <c r="B10" s="6" t="s">
        <v>24</v>
      </c>
      <c r="C10" s="6">
        <v>111111</v>
      </c>
      <c r="D10" s="6" t="s">
        <v>103</v>
      </c>
      <c r="E10" s="16">
        <v>13691.949999999999</v>
      </c>
      <c r="F10" s="6">
        <v>2024020000</v>
      </c>
      <c r="G10" s="2" t="s">
        <v>207</v>
      </c>
    </row>
    <row r="11" spans="2:7" x14ac:dyDescent="0.2">
      <c r="B11" s="6" t="s">
        <v>69</v>
      </c>
      <c r="C11" s="6">
        <v>111111</v>
      </c>
      <c r="D11" s="6" t="s">
        <v>103</v>
      </c>
      <c r="E11" s="16">
        <v>350370.99399999995</v>
      </c>
      <c r="F11" s="6">
        <v>2024080000</v>
      </c>
      <c r="G11" s="2" t="s">
        <v>123</v>
      </c>
    </row>
    <row r="12" spans="2:7" x14ac:dyDescent="0.2">
      <c r="B12" s="6" t="s">
        <v>68</v>
      </c>
      <c r="C12" s="6">
        <v>88</v>
      </c>
      <c r="D12" s="6" t="s">
        <v>32</v>
      </c>
      <c r="E12" s="16">
        <v>3116017.1540000001</v>
      </c>
      <c r="F12" s="6">
        <v>2024090000</v>
      </c>
      <c r="G12" s="2" t="s">
        <v>124</v>
      </c>
    </row>
    <row r="13" spans="2:7" x14ac:dyDescent="0.2">
      <c r="B13" s="6" t="s">
        <v>68</v>
      </c>
      <c r="C13" s="6" t="s">
        <v>11</v>
      </c>
      <c r="D13" s="6" t="s">
        <v>34</v>
      </c>
      <c r="E13" s="16">
        <v>0</v>
      </c>
      <c r="F13" s="6">
        <v>2024090000</v>
      </c>
      <c r="G13" s="2" t="s">
        <v>177</v>
      </c>
    </row>
    <row r="14" spans="2:7" x14ac:dyDescent="0.2">
      <c r="B14" s="6" t="s">
        <v>68</v>
      </c>
      <c r="C14" s="6" t="s">
        <v>12</v>
      </c>
      <c r="D14" s="6" t="s">
        <v>36</v>
      </c>
      <c r="E14" s="16">
        <v>673.34299999999985</v>
      </c>
      <c r="F14" s="6">
        <v>2024090000</v>
      </c>
      <c r="G14" s="2" t="s">
        <v>178</v>
      </c>
    </row>
    <row r="15" spans="2:7" x14ac:dyDescent="0.2">
      <c r="B15" s="6" t="s">
        <v>68</v>
      </c>
      <c r="C15" s="6" t="s">
        <v>25</v>
      </c>
      <c r="D15" s="6" t="s">
        <v>48</v>
      </c>
      <c r="E15" s="16">
        <v>192017.14499999996</v>
      </c>
      <c r="F15" s="6">
        <v>2024090000</v>
      </c>
      <c r="G15" s="2" t="s">
        <v>208</v>
      </c>
    </row>
    <row r="16" spans="2:7" x14ac:dyDescent="0.2">
      <c r="B16" s="6" t="s">
        <v>68</v>
      </c>
      <c r="C16" s="6" t="s">
        <v>6</v>
      </c>
      <c r="D16" s="6" t="s">
        <v>43</v>
      </c>
      <c r="E16" s="16">
        <v>375290.46599999996</v>
      </c>
      <c r="F16" s="6">
        <v>2024090000</v>
      </c>
      <c r="G16" s="2" t="s">
        <v>209</v>
      </c>
    </row>
    <row r="17" spans="2:7" x14ac:dyDescent="0.2">
      <c r="B17" s="6" t="s">
        <v>68</v>
      </c>
      <c r="C17" s="6">
        <v>17000</v>
      </c>
      <c r="D17" s="6" t="s">
        <v>50</v>
      </c>
      <c r="E17" s="16">
        <v>4920</v>
      </c>
      <c r="F17" s="6">
        <v>2024090000</v>
      </c>
      <c r="G17" s="2" t="s">
        <v>210</v>
      </c>
    </row>
    <row r="18" spans="2:7" x14ac:dyDescent="0.2">
      <c r="B18" s="6" t="s">
        <v>68</v>
      </c>
      <c r="C18" s="6">
        <v>111111</v>
      </c>
      <c r="D18" s="6" t="s">
        <v>103</v>
      </c>
      <c r="E18" s="16">
        <v>9783.7069999999985</v>
      </c>
      <c r="F18" s="6">
        <v>2024090000</v>
      </c>
      <c r="G18" s="2" t="s">
        <v>125</v>
      </c>
    </row>
    <row r="19" spans="2:7" x14ac:dyDescent="0.2">
      <c r="B19" s="6" t="s">
        <v>1</v>
      </c>
      <c r="C19" s="6">
        <v>111111</v>
      </c>
      <c r="D19" s="6" t="s">
        <v>103</v>
      </c>
      <c r="E19" s="16">
        <v>3982699.5329999998</v>
      </c>
      <c r="F19" s="6">
        <v>2041000000</v>
      </c>
      <c r="G19" s="2" t="s">
        <v>126</v>
      </c>
    </row>
    <row r="20" spans="2:7" x14ac:dyDescent="0.2">
      <c r="B20" s="6" t="s">
        <v>2</v>
      </c>
      <c r="C20" s="6">
        <v>111101</v>
      </c>
      <c r="D20" s="6" t="s">
        <v>0</v>
      </c>
      <c r="E20" s="16">
        <v>1420796.8209999998</v>
      </c>
      <c r="F20" s="6">
        <v>2042000000</v>
      </c>
      <c r="G20" s="2" t="s">
        <v>127</v>
      </c>
    </row>
    <row r="21" spans="2:7" x14ac:dyDescent="0.2">
      <c r="B21" s="6" t="s">
        <v>70</v>
      </c>
      <c r="C21" s="6">
        <v>111101</v>
      </c>
      <c r="D21" s="6" t="s">
        <v>0</v>
      </c>
      <c r="E21" s="16">
        <v>288891.82199999999</v>
      </c>
      <c r="F21" s="6">
        <v>2042000000</v>
      </c>
      <c r="G21" s="2" t="s">
        <v>127</v>
      </c>
    </row>
    <row r="22" spans="2:7" x14ac:dyDescent="0.2">
      <c r="B22" s="6" t="s">
        <v>71</v>
      </c>
      <c r="C22" s="6">
        <v>111101</v>
      </c>
      <c r="D22" s="6" t="s">
        <v>0</v>
      </c>
      <c r="E22" s="16">
        <v>143500</v>
      </c>
      <c r="F22" s="6">
        <v>2045000000</v>
      </c>
      <c r="G22" s="2" t="s">
        <v>129</v>
      </c>
    </row>
    <row r="23" spans="2:7" x14ac:dyDescent="0.2">
      <c r="B23" s="6" t="s">
        <v>72</v>
      </c>
      <c r="C23" s="6">
        <v>111101</v>
      </c>
      <c r="D23" s="6" t="s">
        <v>0</v>
      </c>
      <c r="E23" s="16">
        <v>1875768.159</v>
      </c>
      <c r="F23" s="6">
        <v>2051210000</v>
      </c>
      <c r="G23" s="2" t="s">
        <v>130</v>
      </c>
    </row>
    <row r="24" spans="2:7" x14ac:dyDescent="0.2">
      <c r="B24" s="6" t="s">
        <v>72</v>
      </c>
      <c r="C24" s="6">
        <v>111101</v>
      </c>
      <c r="D24" s="6" t="s">
        <v>0</v>
      </c>
      <c r="E24" s="16">
        <v>12593.355</v>
      </c>
      <c r="F24" s="6">
        <v>2051260000</v>
      </c>
      <c r="G24" s="2" t="s">
        <v>181</v>
      </c>
    </row>
    <row r="25" spans="2:7" x14ac:dyDescent="0.2">
      <c r="B25" s="6" t="s">
        <v>21</v>
      </c>
      <c r="C25" s="6" t="s">
        <v>19</v>
      </c>
      <c r="D25" s="6" t="s">
        <v>55</v>
      </c>
      <c r="E25" s="16">
        <v>0</v>
      </c>
      <c r="F25" s="6">
        <v>2060441000</v>
      </c>
      <c r="G25" s="2" t="s">
        <v>211</v>
      </c>
    </row>
    <row r="26" spans="2:7" x14ac:dyDescent="0.2">
      <c r="B26" s="6" t="s">
        <v>21</v>
      </c>
      <c r="C26" s="6">
        <v>111111</v>
      </c>
      <c r="D26" s="6" t="s">
        <v>103</v>
      </c>
      <c r="E26" s="16">
        <v>-1252.8369999999998</v>
      </c>
      <c r="F26" s="6">
        <v>2060441000</v>
      </c>
      <c r="G26" s="2" t="s">
        <v>212</v>
      </c>
    </row>
    <row r="27" spans="2:7" x14ac:dyDescent="0.2">
      <c r="B27" s="6" t="s">
        <v>73</v>
      </c>
      <c r="C27" s="6" t="s">
        <v>3</v>
      </c>
      <c r="D27" s="6" t="s">
        <v>40</v>
      </c>
      <c r="E27" s="16">
        <v>-1418521.358</v>
      </c>
      <c r="F27" s="6">
        <v>2069010000</v>
      </c>
      <c r="G27" s="2" t="s">
        <v>132</v>
      </c>
    </row>
    <row r="28" spans="2:7" x14ac:dyDescent="0.2">
      <c r="B28" s="6" t="s">
        <v>73</v>
      </c>
      <c r="C28" s="6">
        <v>19</v>
      </c>
      <c r="D28" s="6" t="s">
        <v>41</v>
      </c>
      <c r="E28" s="16">
        <v>-622966.38600000006</v>
      </c>
      <c r="F28" s="6">
        <v>2069010000</v>
      </c>
      <c r="G28" s="2" t="s">
        <v>183</v>
      </c>
    </row>
    <row r="29" spans="2:7" x14ac:dyDescent="0.2">
      <c r="B29" s="6" t="s">
        <v>73</v>
      </c>
      <c r="C29" s="6" t="s">
        <v>16</v>
      </c>
      <c r="D29" s="6" t="s">
        <v>51</v>
      </c>
      <c r="E29" s="16">
        <v>0</v>
      </c>
      <c r="F29" s="6">
        <v>2069010000</v>
      </c>
      <c r="G29" s="2" t="s">
        <v>184</v>
      </c>
    </row>
    <row r="30" spans="2:7" x14ac:dyDescent="0.2">
      <c r="B30" s="6" t="s">
        <v>73</v>
      </c>
      <c r="C30" s="6" t="s">
        <v>10</v>
      </c>
      <c r="D30" s="6" t="s">
        <v>47</v>
      </c>
      <c r="E30" s="16">
        <v>0</v>
      </c>
      <c r="F30" s="6">
        <v>2069010000</v>
      </c>
      <c r="G30" s="2" t="s">
        <v>185</v>
      </c>
    </row>
    <row r="31" spans="2:7" x14ac:dyDescent="0.2">
      <c r="B31" s="6" t="s">
        <v>73</v>
      </c>
      <c r="C31" s="6">
        <v>1009</v>
      </c>
      <c r="D31" s="6" t="s">
        <v>35</v>
      </c>
      <c r="E31" s="16">
        <v>0</v>
      </c>
      <c r="F31" s="6">
        <v>2069010000</v>
      </c>
      <c r="G31" s="2" t="s">
        <v>136</v>
      </c>
    </row>
    <row r="32" spans="2:7" x14ac:dyDescent="0.2">
      <c r="B32" s="6" t="s">
        <v>73</v>
      </c>
      <c r="C32" s="6">
        <v>1007</v>
      </c>
      <c r="D32" s="6" t="s">
        <v>37</v>
      </c>
      <c r="E32" s="16">
        <v>0</v>
      </c>
      <c r="F32" s="6">
        <v>2069010000</v>
      </c>
      <c r="G32" s="2" t="s">
        <v>137</v>
      </c>
    </row>
    <row r="33" spans="2:7" x14ac:dyDescent="0.2">
      <c r="B33" s="6" t="s">
        <v>73</v>
      </c>
      <c r="C33" s="6">
        <v>1008</v>
      </c>
      <c r="D33" s="6" t="s">
        <v>39</v>
      </c>
      <c r="E33" s="16">
        <v>0</v>
      </c>
      <c r="F33" s="6">
        <v>2069010000</v>
      </c>
      <c r="G33" s="2" t="s">
        <v>138</v>
      </c>
    </row>
    <row r="34" spans="2:7" x14ac:dyDescent="0.2">
      <c r="B34" s="6" t="s">
        <v>73</v>
      </c>
      <c r="C34" s="6">
        <v>1240</v>
      </c>
      <c r="D34" s="6" t="s">
        <v>44</v>
      </c>
      <c r="E34" s="16">
        <v>0</v>
      </c>
      <c r="F34" s="6">
        <v>2069010000</v>
      </c>
      <c r="G34" s="2" t="s">
        <v>139</v>
      </c>
    </row>
    <row r="35" spans="2:7" x14ac:dyDescent="0.2">
      <c r="B35" s="6" t="s">
        <v>73</v>
      </c>
      <c r="C35" s="6">
        <v>1006</v>
      </c>
      <c r="D35" s="6" t="s">
        <v>54</v>
      </c>
      <c r="E35" s="16">
        <v>0</v>
      </c>
      <c r="F35" s="6">
        <v>2069010000</v>
      </c>
      <c r="G35" s="2" t="s">
        <v>213</v>
      </c>
    </row>
    <row r="36" spans="2:7" x14ac:dyDescent="0.2">
      <c r="B36" s="6" t="s">
        <v>73</v>
      </c>
      <c r="C36" s="6">
        <v>1007</v>
      </c>
      <c r="D36" s="6" t="s">
        <v>38</v>
      </c>
      <c r="E36" s="16">
        <v>0</v>
      </c>
      <c r="F36" s="6">
        <v>2069010000</v>
      </c>
      <c r="G36" s="2" t="s">
        <v>137</v>
      </c>
    </row>
    <row r="37" spans="2:7" x14ac:dyDescent="0.2">
      <c r="B37" s="6" t="s">
        <v>73</v>
      </c>
      <c r="C37" s="6" t="s">
        <v>17</v>
      </c>
      <c r="D37" s="6" t="s">
        <v>52</v>
      </c>
      <c r="E37" s="16">
        <v>-1948832.1429999999</v>
      </c>
      <c r="F37" s="6">
        <v>2069010000</v>
      </c>
      <c r="G37" s="2" t="s">
        <v>186</v>
      </c>
    </row>
    <row r="38" spans="2:7" x14ac:dyDescent="0.2">
      <c r="B38" s="6" t="s">
        <v>73</v>
      </c>
      <c r="C38" s="6">
        <v>111111</v>
      </c>
      <c r="D38" s="6" t="s">
        <v>103</v>
      </c>
      <c r="E38" s="16">
        <v>-902857.84299999999</v>
      </c>
      <c r="F38" s="6">
        <v>2069010000</v>
      </c>
      <c r="G38" s="2" t="s">
        <v>140</v>
      </c>
    </row>
    <row r="39" spans="2:7" x14ac:dyDescent="0.2">
      <c r="B39" s="6" t="s">
        <v>26</v>
      </c>
      <c r="C39" s="6">
        <v>111111</v>
      </c>
      <c r="D39" s="6" t="s">
        <v>103</v>
      </c>
      <c r="E39" s="16">
        <v>-61499.999999999993</v>
      </c>
      <c r="F39" s="6">
        <v>2069020000</v>
      </c>
      <c r="G39" s="2" t="s">
        <v>214</v>
      </c>
    </row>
    <row r="40" spans="2:7" x14ac:dyDescent="0.2">
      <c r="B40" s="6" t="s">
        <v>74</v>
      </c>
      <c r="C40" s="6">
        <v>105</v>
      </c>
      <c r="D40" s="6" t="s">
        <v>33</v>
      </c>
      <c r="E40" s="16">
        <v>-30913.425999999996</v>
      </c>
      <c r="F40" s="6">
        <v>2069980000</v>
      </c>
      <c r="G40" s="2" t="s">
        <v>215</v>
      </c>
    </row>
    <row r="41" spans="2:7" x14ac:dyDescent="0.2">
      <c r="B41" s="6" t="s">
        <v>74</v>
      </c>
      <c r="C41" s="6">
        <v>111111</v>
      </c>
      <c r="D41" s="6" t="s">
        <v>103</v>
      </c>
      <c r="E41" s="16">
        <v>-15872.001999999999</v>
      </c>
      <c r="F41" s="6">
        <v>2069980000</v>
      </c>
      <c r="G41" s="2" t="s">
        <v>141</v>
      </c>
    </row>
    <row r="42" spans="2:7" x14ac:dyDescent="0.2">
      <c r="B42" s="6" t="s">
        <v>75</v>
      </c>
      <c r="C42" s="6">
        <v>111111</v>
      </c>
      <c r="D42" s="6" t="s">
        <v>103</v>
      </c>
      <c r="E42" s="16">
        <v>57.317999999999998</v>
      </c>
      <c r="F42" s="6">
        <v>2070400000</v>
      </c>
      <c r="G42" s="2" t="s">
        <v>142</v>
      </c>
    </row>
    <row r="43" spans="2:7" x14ac:dyDescent="0.2">
      <c r="B43" s="6" t="s">
        <v>76</v>
      </c>
      <c r="C43" s="6">
        <v>111111</v>
      </c>
      <c r="D43" s="6" t="s">
        <v>103</v>
      </c>
      <c r="E43" s="16">
        <v>19198.66</v>
      </c>
      <c r="F43" s="6">
        <v>2070500000</v>
      </c>
      <c r="G43" s="2" t="s">
        <v>144</v>
      </c>
    </row>
    <row r="44" spans="2:7" x14ac:dyDescent="0.2">
      <c r="B44" s="6" t="s">
        <v>77</v>
      </c>
      <c r="C44" s="6">
        <v>105</v>
      </c>
      <c r="D44" s="6" t="s">
        <v>33</v>
      </c>
      <c r="E44" s="16">
        <v>-1423120</v>
      </c>
      <c r="F44" s="6">
        <v>2070600000</v>
      </c>
      <c r="G44" s="2" t="s">
        <v>216</v>
      </c>
    </row>
    <row r="45" spans="2:7" x14ac:dyDescent="0.2">
      <c r="B45" s="6" t="s">
        <v>77</v>
      </c>
      <c r="C45" s="6">
        <v>111111</v>
      </c>
      <c r="D45" s="6" t="s">
        <v>103</v>
      </c>
      <c r="E45" s="16">
        <v>-172933.44899999999</v>
      </c>
      <c r="F45" s="6">
        <v>2070600000</v>
      </c>
      <c r="G45" s="2" t="s">
        <v>145</v>
      </c>
    </row>
    <row r="46" spans="2:7" x14ac:dyDescent="0.2">
      <c r="B46" s="6" t="s">
        <v>78</v>
      </c>
      <c r="C46" s="6">
        <v>105</v>
      </c>
      <c r="D46" s="6" t="s">
        <v>33</v>
      </c>
      <c r="E46" s="16">
        <v>473575.46100000001</v>
      </c>
      <c r="F46" s="6">
        <v>2070900000</v>
      </c>
      <c r="G46" s="2" t="s">
        <v>189</v>
      </c>
    </row>
    <row r="47" spans="2:7" x14ac:dyDescent="0.2">
      <c r="B47" s="6" t="s">
        <v>78</v>
      </c>
      <c r="C47" s="6">
        <v>111111</v>
      </c>
      <c r="D47" s="6" t="s">
        <v>103</v>
      </c>
      <c r="E47" s="16">
        <v>1481408.47</v>
      </c>
      <c r="F47" s="6">
        <v>2070900000</v>
      </c>
      <c r="G47" s="2" t="s">
        <v>148</v>
      </c>
    </row>
    <row r="48" spans="2:7" x14ac:dyDescent="0.2">
      <c r="B48" s="6" t="s">
        <v>7</v>
      </c>
      <c r="C48" s="6">
        <v>111111</v>
      </c>
      <c r="D48" s="6" t="s">
        <v>103</v>
      </c>
      <c r="E48" s="16">
        <v>40048.799999999996</v>
      </c>
      <c r="F48" s="6">
        <v>2071000000</v>
      </c>
      <c r="G48" s="2" t="s">
        <v>149</v>
      </c>
    </row>
    <row r="49" spans="2:7" x14ac:dyDescent="0.2">
      <c r="B49" s="6" t="s">
        <v>79</v>
      </c>
      <c r="C49" s="6">
        <v>88</v>
      </c>
      <c r="D49" s="6" t="s">
        <v>32</v>
      </c>
      <c r="E49" s="16">
        <v>584.66</v>
      </c>
      <c r="F49" s="6">
        <v>2071100000</v>
      </c>
      <c r="G49" s="2" t="s">
        <v>217</v>
      </c>
    </row>
    <row r="50" spans="2:7" x14ac:dyDescent="0.2">
      <c r="B50" s="6" t="s">
        <v>79</v>
      </c>
      <c r="C50" s="6">
        <v>111111</v>
      </c>
      <c r="D50" s="6" t="s">
        <v>103</v>
      </c>
      <c r="E50" s="16">
        <v>64039.82699999999</v>
      </c>
      <c r="F50" s="6">
        <v>2071100000</v>
      </c>
      <c r="G50" s="2" t="s">
        <v>150</v>
      </c>
    </row>
    <row r="51" spans="2:7" x14ac:dyDescent="0.2">
      <c r="B51" s="6" t="s">
        <v>27</v>
      </c>
      <c r="C51" s="6">
        <v>111111</v>
      </c>
      <c r="D51" s="6" t="s">
        <v>103</v>
      </c>
      <c r="E51" s="16">
        <v>1352.9999999999998</v>
      </c>
      <c r="F51" s="6">
        <v>2071209100</v>
      </c>
      <c r="G51" s="2" t="s">
        <v>218</v>
      </c>
    </row>
    <row r="52" spans="2:7" x14ac:dyDescent="0.2">
      <c r="B52" s="6" t="s">
        <v>8</v>
      </c>
      <c r="C52" s="6">
        <v>111111</v>
      </c>
      <c r="D52" s="6" t="s">
        <v>103</v>
      </c>
      <c r="E52" s="16">
        <v>2514431.8869999996</v>
      </c>
      <c r="F52" s="6">
        <v>2071209200</v>
      </c>
      <c r="G52" s="2" t="s">
        <v>151</v>
      </c>
    </row>
    <row r="53" spans="2:7" x14ac:dyDescent="0.2">
      <c r="B53" s="6" t="s">
        <v>80</v>
      </c>
      <c r="C53" s="6">
        <v>111111</v>
      </c>
      <c r="D53" s="6" t="s">
        <v>103</v>
      </c>
      <c r="E53" s="16">
        <v>4194.2999999999993</v>
      </c>
      <c r="F53" s="6">
        <v>2071209400</v>
      </c>
      <c r="G53" s="2" t="s">
        <v>152</v>
      </c>
    </row>
    <row r="54" spans="2:7" x14ac:dyDescent="0.2">
      <c r="B54" s="6" t="s">
        <v>81</v>
      </c>
      <c r="C54" s="6">
        <v>111111</v>
      </c>
      <c r="D54" s="6" t="s">
        <v>103</v>
      </c>
      <c r="E54" s="16">
        <v>106525.708</v>
      </c>
      <c r="F54" s="6">
        <v>2071209500</v>
      </c>
      <c r="G54" s="2" t="s">
        <v>153</v>
      </c>
    </row>
    <row r="55" spans="2:7" x14ac:dyDescent="0.2">
      <c r="B55" s="6" t="s">
        <v>82</v>
      </c>
      <c r="C55" s="6">
        <v>111101</v>
      </c>
      <c r="D55" s="6" t="s">
        <v>0</v>
      </c>
      <c r="E55" s="16">
        <v>109811.284</v>
      </c>
      <c r="F55" s="6">
        <v>2071980000</v>
      </c>
      <c r="G55" s="2" t="s">
        <v>154</v>
      </c>
    </row>
    <row r="56" spans="2:7" x14ac:dyDescent="0.2">
      <c r="B56" s="6" t="s">
        <v>83</v>
      </c>
      <c r="C56" s="6">
        <v>111111</v>
      </c>
      <c r="D56" s="6" t="s">
        <v>103</v>
      </c>
      <c r="E56" s="16">
        <v>61111.483999999997</v>
      </c>
      <c r="F56" s="6">
        <v>2079022000</v>
      </c>
      <c r="G56" s="2" t="s">
        <v>155</v>
      </c>
    </row>
    <row r="57" spans="2:7" x14ac:dyDescent="0.2">
      <c r="B57" s="6" t="s">
        <v>84</v>
      </c>
      <c r="C57" s="6" t="s">
        <v>12</v>
      </c>
      <c r="D57" s="6" t="s">
        <v>36</v>
      </c>
      <c r="E57" s="16">
        <v>0</v>
      </c>
      <c r="F57" s="6">
        <v>2079070000</v>
      </c>
      <c r="G57" s="2" t="s">
        <v>198</v>
      </c>
    </row>
    <row r="58" spans="2:7" x14ac:dyDescent="0.2">
      <c r="B58" s="6" t="s">
        <v>84</v>
      </c>
      <c r="C58" s="6">
        <v>105</v>
      </c>
      <c r="D58" s="6" t="s">
        <v>33</v>
      </c>
      <c r="E58" s="16">
        <v>1684415.2999999998</v>
      </c>
      <c r="F58" s="6">
        <v>2079070000</v>
      </c>
      <c r="G58" s="2" t="s">
        <v>156</v>
      </c>
    </row>
    <row r="59" spans="2:7" x14ac:dyDescent="0.2">
      <c r="B59" s="6" t="s">
        <v>84</v>
      </c>
      <c r="C59" s="6">
        <v>111111</v>
      </c>
      <c r="D59" s="6" t="s">
        <v>103</v>
      </c>
      <c r="E59" s="16">
        <v>575626.2649999999</v>
      </c>
      <c r="F59" s="6">
        <v>2079070000</v>
      </c>
      <c r="G59" s="2" t="s">
        <v>157</v>
      </c>
    </row>
    <row r="60" spans="2:7" x14ac:dyDescent="0.2">
      <c r="B60" s="6" t="s">
        <v>85</v>
      </c>
      <c r="C60" s="6" t="s">
        <v>10</v>
      </c>
      <c r="D60" s="6" t="s">
        <v>47</v>
      </c>
      <c r="E60" s="16">
        <v>0</v>
      </c>
      <c r="F60" s="6">
        <v>2079080000</v>
      </c>
      <c r="G60" s="2" t="s">
        <v>199</v>
      </c>
    </row>
    <row r="61" spans="2:7" x14ac:dyDescent="0.2">
      <c r="B61" s="6" t="s">
        <v>85</v>
      </c>
      <c r="C61" s="6">
        <v>1007</v>
      </c>
      <c r="D61" s="6" t="s">
        <v>38</v>
      </c>
      <c r="E61" s="16">
        <v>0</v>
      </c>
      <c r="F61" s="6">
        <v>2079080000</v>
      </c>
      <c r="G61" s="2" t="s">
        <v>159</v>
      </c>
    </row>
    <row r="62" spans="2:7" x14ac:dyDescent="0.2">
      <c r="B62" s="6" t="s">
        <v>86</v>
      </c>
      <c r="C62" s="6" t="s">
        <v>10</v>
      </c>
      <c r="D62" s="6" t="s">
        <v>47</v>
      </c>
      <c r="E62" s="16">
        <v>0</v>
      </c>
      <c r="F62" s="6">
        <v>2082280000</v>
      </c>
      <c r="G62" s="2" t="s">
        <v>200</v>
      </c>
    </row>
    <row r="63" spans="2:7" x14ac:dyDescent="0.2">
      <c r="B63" s="6" t="s">
        <v>86</v>
      </c>
      <c r="C63" s="6">
        <v>1009</v>
      </c>
      <c r="D63" s="6" t="s">
        <v>35</v>
      </c>
      <c r="E63" s="16">
        <v>0</v>
      </c>
      <c r="F63" s="6">
        <v>2082280000</v>
      </c>
      <c r="G63" s="2" t="s">
        <v>161</v>
      </c>
    </row>
    <row r="64" spans="2:7" x14ac:dyDescent="0.2">
      <c r="B64" s="6" t="s">
        <v>86</v>
      </c>
      <c r="C64" s="6">
        <v>1007</v>
      </c>
      <c r="D64" s="6" t="s">
        <v>37</v>
      </c>
      <c r="E64" s="16">
        <v>0</v>
      </c>
      <c r="F64" s="6">
        <v>2082280000</v>
      </c>
      <c r="G64" s="2" t="s">
        <v>162</v>
      </c>
    </row>
    <row r="65" spans="2:7" x14ac:dyDescent="0.2">
      <c r="B65" s="6" t="s">
        <v>86</v>
      </c>
      <c r="C65" s="6">
        <v>1008</v>
      </c>
      <c r="D65" s="6" t="s">
        <v>39</v>
      </c>
      <c r="E65" s="16">
        <v>0</v>
      </c>
      <c r="F65" s="6">
        <v>2082280000</v>
      </c>
      <c r="G65" s="2" t="s">
        <v>163</v>
      </c>
    </row>
    <row r="66" spans="2:7" x14ac:dyDescent="0.2">
      <c r="B66" s="6" t="s">
        <v>86</v>
      </c>
      <c r="C66" s="6">
        <v>1240</v>
      </c>
      <c r="D66" s="6" t="s">
        <v>44</v>
      </c>
      <c r="E66" s="16">
        <v>0</v>
      </c>
      <c r="F66" s="6">
        <v>2082280000</v>
      </c>
      <c r="G66" s="2" t="s">
        <v>164</v>
      </c>
    </row>
    <row r="67" spans="2:7" x14ac:dyDescent="0.2">
      <c r="B67" s="6" t="s">
        <v>86</v>
      </c>
      <c r="C67" s="6">
        <v>1006</v>
      </c>
      <c r="D67" s="6" t="s">
        <v>54</v>
      </c>
      <c r="E67" s="16">
        <v>0</v>
      </c>
      <c r="F67" s="6">
        <v>2082280000</v>
      </c>
      <c r="G67" s="2" t="s">
        <v>201</v>
      </c>
    </row>
    <row r="68" spans="2:7" x14ac:dyDescent="0.2">
      <c r="B68" s="6" t="s">
        <v>86</v>
      </c>
      <c r="C68" s="6">
        <v>111111</v>
      </c>
      <c r="D68" s="6" t="s">
        <v>103</v>
      </c>
      <c r="E68" s="16">
        <v>-73809.511999999988</v>
      </c>
      <c r="F68" s="6">
        <v>2082280000</v>
      </c>
      <c r="G68" s="2" t="s">
        <v>165</v>
      </c>
    </row>
    <row r="69" spans="2:7" x14ac:dyDescent="0.2">
      <c r="B69" s="6" t="s">
        <v>87</v>
      </c>
      <c r="C69" s="6">
        <v>111101</v>
      </c>
      <c r="D69" s="6" t="s">
        <v>0</v>
      </c>
      <c r="E69" s="16">
        <v>7173.195999999999</v>
      </c>
      <c r="F69" s="6">
        <v>2082208200</v>
      </c>
      <c r="G69" s="2" t="s">
        <v>167</v>
      </c>
    </row>
    <row r="70" spans="2:7" x14ac:dyDescent="0.2">
      <c r="B70" s="6" t="s">
        <v>88</v>
      </c>
      <c r="C70" s="6">
        <v>88</v>
      </c>
      <c r="D70" s="6" t="s">
        <v>32</v>
      </c>
      <c r="E70" s="16">
        <v>2324465.8859999999</v>
      </c>
      <c r="F70" s="6">
        <v>2082214000</v>
      </c>
      <c r="G70" s="2" t="s">
        <v>168</v>
      </c>
    </row>
    <row r="71" spans="2:7" x14ac:dyDescent="0.2">
      <c r="B71" s="6" t="s">
        <v>88</v>
      </c>
      <c r="C71" s="6">
        <v>1007</v>
      </c>
      <c r="D71" s="6" t="s">
        <v>38</v>
      </c>
      <c r="E71" s="16">
        <v>0</v>
      </c>
      <c r="F71" s="6">
        <v>2082214000</v>
      </c>
      <c r="G71" s="2" t="s">
        <v>202</v>
      </c>
    </row>
    <row r="72" spans="2:7" x14ac:dyDescent="0.2">
      <c r="B72" s="6" t="s">
        <v>88</v>
      </c>
      <c r="C72" s="6">
        <v>111111</v>
      </c>
      <c r="D72" s="6" t="s">
        <v>103</v>
      </c>
      <c r="E72" s="16">
        <v>51.454999999999998</v>
      </c>
      <c r="F72" s="6">
        <v>2082214000</v>
      </c>
      <c r="G72" s="2" t="s">
        <v>203</v>
      </c>
    </row>
    <row r="73" spans="2:7" x14ac:dyDescent="0.2">
      <c r="B73" s="6" t="s">
        <v>106</v>
      </c>
      <c r="C73" s="6">
        <v>111101</v>
      </c>
      <c r="D73" s="6" t="s">
        <v>0</v>
      </c>
      <c r="E73" s="16">
        <v>0</v>
      </c>
      <c r="F73" s="6">
        <v>2082110000</v>
      </c>
      <c r="G73" s="2" t="s">
        <v>219</v>
      </c>
    </row>
    <row r="74" spans="2:7" x14ac:dyDescent="0.2">
      <c r="B74" s="6" t="s">
        <v>89</v>
      </c>
      <c r="C74" s="6">
        <v>111101</v>
      </c>
      <c r="D74" s="6" t="s">
        <v>0</v>
      </c>
      <c r="E74" s="16">
        <v>2558.1950000000002</v>
      </c>
      <c r="F74" s="6">
        <v>2091200000</v>
      </c>
      <c r="G74" s="2" t="s">
        <v>169</v>
      </c>
    </row>
    <row r="75" spans="2:7" x14ac:dyDescent="0.2">
      <c r="B75" s="6" t="s">
        <v>90</v>
      </c>
      <c r="C75" s="6">
        <v>111101</v>
      </c>
      <c r="D75" s="6" t="s">
        <v>0</v>
      </c>
      <c r="E75" s="16">
        <v>522710.353</v>
      </c>
      <c r="F75" s="6">
        <v>2091200001</v>
      </c>
      <c r="G75" s="2" t="s">
        <v>170</v>
      </c>
    </row>
    <row r="76" spans="2:7" x14ac:dyDescent="0.2">
      <c r="B76" s="6" t="s">
        <v>91</v>
      </c>
      <c r="C76" s="6">
        <v>111101</v>
      </c>
      <c r="D76" s="6" t="s">
        <v>0</v>
      </c>
      <c r="E76" s="16">
        <v>-160303.52199999997</v>
      </c>
      <c r="F76" s="6">
        <v>2092200000</v>
      </c>
      <c r="G76" s="2" t="s">
        <v>171</v>
      </c>
    </row>
    <row r="77" spans="2:7" x14ac:dyDescent="0.2">
      <c r="B77" s="6" t="s">
        <v>28</v>
      </c>
      <c r="C77" s="6">
        <v>111101</v>
      </c>
      <c r="D77" s="6" t="s">
        <v>0</v>
      </c>
      <c r="E77" s="16">
        <v>0</v>
      </c>
      <c r="F77" s="6">
        <v>2111111997</v>
      </c>
      <c r="G77" s="2" t="s">
        <v>220</v>
      </c>
    </row>
    <row r="78" spans="2:7" x14ac:dyDescent="0.2">
      <c r="B78" s="18" t="s">
        <v>64</v>
      </c>
      <c r="C78" s="18">
        <v>111101</v>
      </c>
      <c r="D78" s="18" t="s">
        <v>0</v>
      </c>
      <c r="E78" s="19">
        <v>-779290.47600000002</v>
      </c>
      <c r="F78" s="18">
        <v>2111111999</v>
      </c>
      <c r="G78" s="2" t="s">
        <v>206</v>
      </c>
    </row>
    <row r="79" spans="2:7" x14ac:dyDescent="0.2">
      <c r="C79" s="6"/>
    </row>
    <row r="80" spans="2:7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2"/>
  <sheetViews>
    <sheetView showGridLines="0" workbookViewId="0"/>
  </sheetViews>
  <sheetFormatPr defaultRowHeight="12" x14ac:dyDescent="0.2"/>
  <cols>
    <col min="1" max="1" width="2" style="25" customWidth="1"/>
    <col min="2" max="16384" width="9.140625" style="25"/>
  </cols>
  <sheetData>
    <row r="12" spans="2:2" ht="40.5" x14ac:dyDescent="0.55000000000000004">
      <c r="B12" s="4" t="s">
        <v>263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I216"/>
  <sheetViews>
    <sheetView showGridLines="0" workbookViewId="0"/>
  </sheetViews>
  <sheetFormatPr defaultColWidth="9.140625" defaultRowHeight="12" x14ac:dyDescent="0.2"/>
  <cols>
    <col min="1" max="1" width="2" style="2" customWidth="1"/>
    <col min="2" max="2" width="26.140625" style="2" bestFit="1" customWidth="1"/>
    <col min="3" max="3" width="38.5703125" style="2" bestFit="1" customWidth="1"/>
    <col min="4" max="4" width="20.5703125" style="2" bestFit="1" customWidth="1"/>
    <col min="5" max="5" width="29.5703125" style="2" bestFit="1" customWidth="1"/>
    <col min="6" max="8" width="12.85546875" style="2" bestFit="1" customWidth="1"/>
    <col min="9" max="9" width="24.42578125" style="2" bestFit="1" customWidth="1"/>
    <col min="10" max="16384" width="9.140625" style="2"/>
  </cols>
  <sheetData>
    <row r="1" spans="2:9" ht="15.75" x14ac:dyDescent="0.25">
      <c r="B1" s="3" t="s">
        <v>56</v>
      </c>
    </row>
    <row r="3" spans="2:9" ht="15.75" thickBot="1" x14ac:dyDescent="0.3">
      <c r="B3" s="26" t="s">
        <v>115</v>
      </c>
      <c r="C3" s="26" t="s">
        <v>99</v>
      </c>
      <c r="D3" s="26" t="s">
        <v>31</v>
      </c>
      <c r="E3" s="26" t="s">
        <v>100</v>
      </c>
      <c r="F3" s="26" t="s">
        <v>223</v>
      </c>
      <c r="G3" s="26" t="s">
        <v>221</v>
      </c>
      <c r="H3" s="26" t="s">
        <v>222</v>
      </c>
      <c r="I3" s="26" t="s">
        <v>235</v>
      </c>
    </row>
    <row r="4" spans="2:9" ht="15" x14ac:dyDescent="0.25">
      <c r="B4" s="6" t="s">
        <v>116</v>
      </c>
      <c r="C4" s="6" t="str">
        <f>_xlfn.XLOOKUP(db[[#This Row],[Code]],fy_16[Code],fy_16[P&amp;L account])</f>
        <v>Core business revenues</v>
      </c>
      <c r="D4" s="6">
        <f>_xlfn.XLOOKUP(db[[#This Row],[Code]],fy_16[Code],fy_16[Partner company])</f>
        <v>111111</v>
      </c>
      <c r="E4" s="6" t="str">
        <f>_xlfn.XLOOKUP(db[[#This Row],[Code]],fy_16[Code],fy_16[Name of partner company])</f>
        <v>External</v>
      </c>
      <c r="F4" s="38">
        <f>-SUMIF(fy_16[Code],db[[#This Row],[Code]],fy_16[Amounts])</f>
        <v>14500341</v>
      </c>
      <c r="G4" s="38">
        <f>-SUMIF(fy_17[Code],db[[#This Row],[Code]],fy_17[Amounts])</f>
        <v>15792898.75</v>
      </c>
      <c r="H4" s="38">
        <f>-SUMIF(fy_18[Code],db[[#This Row],[Code]],fy_18[Amounts])</f>
        <v>14431341</v>
      </c>
      <c r="I4" t="s">
        <v>224</v>
      </c>
    </row>
    <row r="5" spans="2:9" ht="15" x14ac:dyDescent="0.25">
      <c r="B5" s="6" t="s">
        <v>117</v>
      </c>
      <c r="C5" s="6" t="str">
        <f>_xlfn.XLOOKUP(db[[#This Row],[Code]],fy_16[Code],fy_16[P&amp;L account])</f>
        <v>Other revenues</v>
      </c>
      <c r="D5" s="6">
        <f>_xlfn.XLOOKUP(db[[#This Row],[Code]],fy_16[Code],fy_16[Partner company])</f>
        <v>111111</v>
      </c>
      <c r="E5" s="6" t="str">
        <f>_xlfn.XLOOKUP(db[[#This Row],[Code]],fy_16[Code],fy_16[Name of partner company])</f>
        <v>External</v>
      </c>
      <c r="F5" s="38">
        <f>-SUMIF(fy_16[Code],db[[#This Row],[Code]],fy_16[Amounts])</f>
        <v>4794856.1919999998</v>
      </c>
      <c r="G5" s="38">
        <f>-SUMIF(fy_17[Code],db[[#This Row],[Code]],fy_17[Amounts])</f>
        <v>6960217.6449999996</v>
      </c>
      <c r="H5" s="38">
        <f>-SUMIF(fy_18[Code],db[[#This Row],[Code]],fy_18[Amounts])</f>
        <v>6373617.5140000004</v>
      </c>
      <c r="I5" t="s">
        <v>66</v>
      </c>
    </row>
    <row r="6" spans="2:9" ht="15" x14ac:dyDescent="0.25">
      <c r="B6" s="6" t="s">
        <v>118</v>
      </c>
      <c r="C6" s="6" t="str">
        <f>_xlfn.XLOOKUP(db[[#This Row],[Code]],fy_16[Code],fy_16[P&amp;L account])</f>
        <v>Capitalized costs</v>
      </c>
      <c r="D6" s="6">
        <f>_xlfn.XLOOKUP(db[[#This Row],[Code]],fy_16[Code],fy_16[Partner company])</f>
        <v>1009</v>
      </c>
      <c r="E6" s="6" t="str">
        <f>_xlfn.XLOOKUP(db[[#This Row],[Code]],fy_16[Code],fy_16[Name of partner company])</f>
        <v>Green Ventures Ltd</v>
      </c>
      <c r="F6" s="38">
        <f>-SUMIF(fy_16[Code],db[[#This Row],[Code]],fy_16[Amounts])</f>
        <v>154890.4</v>
      </c>
      <c r="G6" s="38">
        <f>-SUMIF(fy_17[Code],db[[#This Row],[Code]],fy_17[Amounts])</f>
        <v>0</v>
      </c>
      <c r="H6" s="38">
        <f>-SUMIF(fy_18[Code],db[[#This Row],[Code]],fy_18[Amounts])</f>
        <v>0</v>
      </c>
      <c r="I6" t="s">
        <v>67</v>
      </c>
    </row>
    <row r="7" spans="2:9" ht="15" x14ac:dyDescent="0.25">
      <c r="B7" s="6" t="s">
        <v>119</v>
      </c>
      <c r="C7" s="6" t="str">
        <f>_xlfn.XLOOKUP(db[[#This Row],[Code]],fy_16[Code],fy_16[P&amp;L account])</f>
        <v>Capitalized costs</v>
      </c>
      <c r="D7" s="6">
        <f>_xlfn.XLOOKUP(db[[#This Row],[Code]],fy_16[Code],fy_16[Partner company])</f>
        <v>1007</v>
      </c>
      <c r="E7" s="6" t="str">
        <f>_xlfn.XLOOKUP(db[[#This Row],[Code]],fy_16[Code],fy_16[Name of partner company])</f>
        <v>Generco Sunshine JSC</v>
      </c>
      <c r="F7" s="38">
        <f>-SUMIF(fy_16[Code],db[[#This Row],[Code]],fy_16[Amounts])</f>
        <v>1180894.0520000001</v>
      </c>
      <c r="G7" s="38">
        <f>-SUMIF(fy_17[Code],db[[#This Row],[Code]],fy_17[Amounts])</f>
        <v>89234.880000000005</v>
      </c>
      <c r="H7" s="38">
        <f>-SUMIF(fy_18[Code],db[[#This Row],[Code]],fy_18[Amounts])</f>
        <v>0</v>
      </c>
      <c r="I7" t="s">
        <v>67</v>
      </c>
    </row>
    <row r="8" spans="2:9" ht="15" x14ac:dyDescent="0.25">
      <c r="B8" s="6" t="s">
        <v>120</v>
      </c>
      <c r="C8" s="6" t="str">
        <f>_xlfn.XLOOKUP(db[[#This Row],[Code]],fy_16[Code],fy_16[P&amp;L account])</f>
        <v>Capitalized costs</v>
      </c>
      <c r="D8" s="6">
        <f>_xlfn.XLOOKUP(db[[#This Row],[Code]],fy_16[Code],fy_16[Partner company])</f>
        <v>1008</v>
      </c>
      <c r="E8" s="6" t="str">
        <f>_xlfn.XLOOKUP(db[[#This Row],[Code]],fy_16[Code],fy_16[Name of partner company])</f>
        <v>Greenco Ltd</v>
      </c>
      <c r="F8" s="38">
        <f>-SUMIF(fy_16[Code],db[[#This Row],[Code]],fy_16[Amounts])</f>
        <v>793079.51199999999</v>
      </c>
      <c r="G8" s="38">
        <f>-SUMIF(fy_17[Code],db[[#This Row],[Code]],fy_17[Amounts])</f>
        <v>26173</v>
      </c>
      <c r="H8" s="38">
        <f>-SUMIF(fy_18[Code],db[[#This Row],[Code]],fy_18[Amounts])</f>
        <v>0</v>
      </c>
      <c r="I8" t="s">
        <v>67</v>
      </c>
    </row>
    <row r="9" spans="2:9" ht="15" x14ac:dyDescent="0.25">
      <c r="B9" s="6" t="s">
        <v>121</v>
      </c>
      <c r="C9" s="6" t="str">
        <f>_xlfn.XLOOKUP(db[[#This Row],[Code]],fy_16[Code],fy_16[P&amp;L account])</f>
        <v>Capitalized costs</v>
      </c>
      <c r="D9" s="6">
        <f>_xlfn.XLOOKUP(db[[#This Row],[Code]],fy_16[Code],fy_16[Partner company])</f>
        <v>111101</v>
      </c>
      <c r="E9" s="6" t="str">
        <f>_xlfn.XLOOKUP(db[[#This Row],[Code]],fy_16[Code],fy_16[Name of partner company])</f>
        <v>Not assigned</v>
      </c>
      <c r="F9" s="38">
        <f>-SUMIF(fy_16[Code],db[[#This Row],[Code]],fy_16[Amounts])</f>
        <v>2277197.6</v>
      </c>
      <c r="G9" s="38">
        <f>-SUMIF(fy_17[Code],db[[#This Row],[Code]],fy_17[Amounts])</f>
        <v>209401.92</v>
      </c>
      <c r="H9" s="38">
        <f>-SUMIF(fy_18[Code],db[[#This Row],[Code]],fy_18[Amounts])</f>
        <v>0</v>
      </c>
      <c r="I9" t="s">
        <v>67</v>
      </c>
    </row>
    <row r="10" spans="2:9" ht="15" x14ac:dyDescent="0.25">
      <c r="B10" s="6" t="s">
        <v>122</v>
      </c>
      <c r="C10" s="6" t="str">
        <f>_xlfn.XLOOKUP(db[[#This Row],[Code]],fy_16[Code],fy_16[P&amp;L account])</f>
        <v>Direct costs</v>
      </c>
      <c r="D10" s="6">
        <f>_xlfn.XLOOKUP(db[[#This Row],[Code]],fy_16[Code],fy_16[Partner company])</f>
        <v>111111</v>
      </c>
      <c r="E10" s="6" t="str">
        <f>_xlfn.XLOOKUP(db[[#This Row],[Code]],fy_16[Code],fy_16[Name of partner company])</f>
        <v>External</v>
      </c>
      <c r="F10" s="38">
        <f>-SUMIF(fy_16[Code],db[[#This Row],[Code]],fy_16[Amounts])</f>
        <v>-4428911.7640000004</v>
      </c>
      <c r="G10" s="38">
        <f>-SUMIF(fy_17[Code],db[[#This Row],[Code]],fy_17[Amounts])</f>
        <v>-5463188.8250000002</v>
      </c>
      <c r="H10" s="38">
        <f>-SUMIF(fy_18[Code],db[[#This Row],[Code]],fy_18[Amounts])</f>
        <v>-5674152.0669999998</v>
      </c>
      <c r="I10" t="s">
        <v>104</v>
      </c>
    </row>
    <row r="11" spans="2:9" ht="15" x14ac:dyDescent="0.25">
      <c r="B11" s="6" t="s">
        <v>123</v>
      </c>
      <c r="C11" s="6" t="str">
        <f>_xlfn.XLOOKUP(db[[#This Row],[Code]],fy_16[Code],fy_16[P&amp;L account])</f>
        <v>Freight outbound expenses</v>
      </c>
      <c r="D11" s="6">
        <f>_xlfn.XLOOKUP(db[[#This Row],[Code]],fy_16[Code],fy_16[Partner company])</f>
        <v>111111</v>
      </c>
      <c r="E11" s="6" t="str">
        <f>_xlfn.XLOOKUP(db[[#This Row],[Code]],fy_16[Code],fy_16[Name of partner company])</f>
        <v>External</v>
      </c>
      <c r="F11" s="38">
        <f>-SUMIF(fy_16[Code],db[[#This Row],[Code]],fy_16[Amounts])</f>
        <v>-16977.628000000001</v>
      </c>
      <c r="G11" s="38">
        <f>-SUMIF(fy_17[Code],db[[#This Row],[Code]],fy_17[Amounts])</f>
        <v>-343675</v>
      </c>
      <c r="H11" s="38">
        <f>-SUMIF(fy_18[Code],db[[#This Row],[Code]],fy_18[Amounts])</f>
        <v>-350370.99399999995</v>
      </c>
      <c r="I11" t="s">
        <v>226</v>
      </c>
    </row>
    <row r="12" spans="2:9" ht="15" x14ac:dyDescent="0.25">
      <c r="B12" s="6" t="s">
        <v>124</v>
      </c>
      <c r="C12" s="6" t="str">
        <f>_xlfn.XLOOKUP(db[[#This Row],[Code]],fy_16[Code],fy_16[P&amp;L account])</f>
        <v>R&amp;D expenses</v>
      </c>
      <c r="D12" s="6">
        <f>_xlfn.XLOOKUP(db[[#This Row],[Code]],fy_16[Code],fy_16[Partner company])</f>
        <v>88</v>
      </c>
      <c r="E12" s="6" t="str">
        <f>_xlfn.XLOOKUP(db[[#This Row],[Code]],fy_16[Code],fy_16[Name of partner company])</f>
        <v>Generco Ltd</v>
      </c>
      <c r="F12" s="38">
        <f>-SUMIF(fy_16[Code],db[[#This Row],[Code]],fy_16[Amounts])</f>
        <v>-2245437.54</v>
      </c>
      <c r="G12" s="38">
        <f>-SUMIF(fy_17[Code],db[[#This Row],[Code]],fy_17[Amounts])</f>
        <v>-1980162.23</v>
      </c>
      <c r="H12" s="38">
        <f>-SUMIF(fy_18[Code],db[[#This Row],[Code]],fy_18[Amounts])</f>
        <v>-3116017.1540000001</v>
      </c>
      <c r="I12" t="s">
        <v>226</v>
      </c>
    </row>
    <row r="13" spans="2:9" ht="15" x14ac:dyDescent="0.25">
      <c r="B13" s="6" t="s">
        <v>125</v>
      </c>
      <c r="C13" s="6" t="str">
        <f>_xlfn.XLOOKUP(db[[#This Row],[Code]],fy_16[Code],fy_16[P&amp;L account])</f>
        <v>R&amp;D expenses</v>
      </c>
      <c r="D13" s="6">
        <f>_xlfn.XLOOKUP(db[[#This Row],[Code]],fy_16[Code],fy_16[Partner company])</f>
        <v>111111</v>
      </c>
      <c r="E13" s="6" t="str">
        <f>_xlfn.XLOOKUP(db[[#This Row],[Code]],fy_16[Code],fy_16[Name of partner company])</f>
        <v>External</v>
      </c>
      <c r="F13" s="38">
        <f>-SUMIF(fy_16[Code],db[[#This Row],[Code]],fy_16[Amounts])</f>
        <v>-16605.634000000002</v>
      </c>
      <c r="G13" s="38">
        <f>-SUMIF(fy_17[Code],db[[#This Row],[Code]],fy_17[Amounts])</f>
        <v>-27148.625</v>
      </c>
      <c r="H13" s="38">
        <f>-SUMIF(fy_18[Code],db[[#This Row],[Code]],fy_18[Amounts])</f>
        <v>-9783.7069999999985</v>
      </c>
      <c r="I13" t="s">
        <v>226</v>
      </c>
    </row>
    <row r="14" spans="2:9" ht="15" x14ac:dyDescent="0.25">
      <c r="B14" s="6" t="s">
        <v>126</v>
      </c>
      <c r="C14" s="6" t="str">
        <f>_xlfn.XLOOKUP(db[[#This Row],[Code]],fy_16[Code],fy_16[P&amp;L account])</f>
        <v>Wages and salaries</v>
      </c>
      <c r="D14" s="6">
        <f>_xlfn.XLOOKUP(db[[#This Row],[Code]],fy_16[Code],fy_16[Partner company])</f>
        <v>111111</v>
      </c>
      <c r="E14" s="6" t="str">
        <f>_xlfn.XLOOKUP(db[[#This Row],[Code]],fy_16[Code],fy_16[Name of partner company])</f>
        <v>External</v>
      </c>
      <c r="F14" s="38">
        <f>-SUMIF(fy_16[Code],db[[#This Row],[Code]],fy_16[Amounts])</f>
        <v>-4683394.0460000001</v>
      </c>
      <c r="G14" s="38">
        <f>-SUMIF(fy_17[Code],db[[#This Row],[Code]],fy_17[Amounts])</f>
        <v>-5507141.0549999997</v>
      </c>
      <c r="H14" s="38">
        <f>-SUMIF(fy_18[Code],db[[#This Row],[Code]],fy_18[Amounts])</f>
        <v>-3982699.5329999998</v>
      </c>
      <c r="I14" t="s">
        <v>227</v>
      </c>
    </row>
    <row r="15" spans="2:9" ht="15" x14ac:dyDescent="0.25">
      <c r="B15" s="6" t="s">
        <v>127</v>
      </c>
      <c r="C15" s="6" t="str">
        <f>_xlfn.XLOOKUP(db[[#This Row],[Code]],fy_16[Code],fy_16[P&amp;L account])</f>
        <v>Pension contributions</v>
      </c>
      <c r="D15" s="6">
        <f>_xlfn.XLOOKUP(db[[#This Row],[Code]],fy_16[Code],fy_16[Partner company])</f>
        <v>111101</v>
      </c>
      <c r="E15" s="6" t="str">
        <f>_xlfn.XLOOKUP(db[[#This Row],[Code]],fy_16[Code],fy_16[Name of partner company])</f>
        <v>Not assigned</v>
      </c>
      <c r="F15" s="38">
        <f>-SUMIF(fy_16[Code],db[[#This Row],[Code]],fy_16[Amounts])</f>
        <v>-1143051.5760000001</v>
      </c>
      <c r="G15" s="38">
        <f>-SUMIF(fy_17[Code],db[[#This Row],[Code]],fy_17[Amounts])</f>
        <v>-2057298.04</v>
      </c>
      <c r="H15" s="38">
        <f>-SUMIF(fy_18[Code],db[[#This Row],[Code]],fy_18[Amounts])</f>
        <v>-1709688.6429999997</v>
      </c>
      <c r="I15" t="s">
        <v>227</v>
      </c>
    </row>
    <row r="16" spans="2:9" ht="15" x14ac:dyDescent="0.25">
      <c r="B16" s="6" t="s">
        <v>128</v>
      </c>
      <c r="C16" s="6" t="str">
        <f>_xlfn.XLOOKUP(db[[#This Row],[Code]],fy_16[Code],fy_16[P&amp;L account])</f>
        <v>Pension contributions</v>
      </c>
      <c r="D16" s="6">
        <f>_xlfn.XLOOKUP(db[[#This Row],[Code]],fy_16[Code],fy_16[Partner company])</f>
        <v>88</v>
      </c>
      <c r="E16" s="6" t="str">
        <f>_xlfn.XLOOKUP(db[[#This Row],[Code]],fy_16[Code],fy_16[Name of partner company])</f>
        <v>Generco Ltd</v>
      </c>
      <c r="F16" s="38">
        <f>-SUMIF(fy_16[Code],db[[#This Row],[Code]],fy_16[Amounts])</f>
        <v>-239379.61800000002</v>
      </c>
      <c r="G16" s="38">
        <f>-SUMIF(fy_17[Code],db[[#This Row],[Code]],fy_17[Amounts])</f>
        <v>0</v>
      </c>
      <c r="H16" s="38">
        <f>-SUMIF(fy_18[Code],db[[#This Row],[Code]],fy_18[Amounts])</f>
        <v>0</v>
      </c>
      <c r="I16" t="s">
        <v>227</v>
      </c>
    </row>
    <row r="17" spans="2:9" ht="15" x14ac:dyDescent="0.25">
      <c r="B17" s="6" t="s">
        <v>129</v>
      </c>
      <c r="C17" s="6" t="str">
        <f>_xlfn.XLOOKUP(db[[#This Row],[Code]],fy_16[Code],fy_16[P&amp;L account])</f>
        <v>Severance indemnity contribution</v>
      </c>
      <c r="D17" s="6">
        <f>_xlfn.XLOOKUP(db[[#This Row],[Code]],fy_16[Code],fy_16[Partner company])</f>
        <v>111101</v>
      </c>
      <c r="E17" s="6" t="str">
        <f>_xlfn.XLOOKUP(db[[#This Row],[Code]],fy_16[Code],fy_16[Name of partner company])</f>
        <v>Not assigned</v>
      </c>
      <c r="F17" s="38">
        <f>-SUMIF(fy_16[Code],db[[#This Row],[Code]],fy_16[Amounts])</f>
        <v>-104913.8</v>
      </c>
      <c r="G17" s="38">
        <f>-SUMIF(fy_17[Code],db[[#This Row],[Code]],fy_17[Amounts])</f>
        <v>-500500</v>
      </c>
      <c r="H17" s="38">
        <f>-SUMIF(fy_18[Code],db[[#This Row],[Code]],fy_18[Amounts])</f>
        <v>-143500</v>
      </c>
      <c r="I17" t="s">
        <v>227</v>
      </c>
    </row>
    <row r="18" spans="2:9" ht="15" x14ac:dyDescent="0.25">
      <c r="B18" s="6" t="s">
        <v>130</v>
      </c>
      <c r="C18" s="6" t="str">
        <f>_xlfn.XLOOKUP(db[[#This Row],[Code]],fy_16[Code],fy_16[P&amp;L account])</f>
        <v>D&amp;A</v>
      </c>
      <c r="D18" s="6">
        <f>_xlfn.XLOOKUP(db[[#This Row],[Code]],fy_16[Code],fy_16[Partner company])</f>
        <v>111101</v>
      </c>
      <c r="E18" s="6" t="str">
        <f>_xlfn.XLOOKUP(db[[#This Row],[Code]],fy_16[Code],fy_16[Name of partner company])</f>
        <v>Not assigned</v>
      </c>
      <c r="F18" s="38">
        <f>-SUMIF(fy_16[Code],db[[#This Row],[Code]],fy_16[Amounts])</f>
        <v>-2003262.2180000001</v>
      </c>
      <c r="G18" s="38">
        <f>-SUMIF(fy_17[Code],db[[#This Row],[Code]],fy_17[Amounts])</f>
        <v>-1897676.87</v>
      </c>
      <c r="H18" s="38">
        <f>-SUMIF(fy_18[Code],db[[#This Row],[Code]],fy_18[Amounts])</f>
        <v>-1875768.159</v>
      </c>
      <c r="I18" t="s">
        <v>72</v>
      </c>
    </row>
    <row r="19" spans="2:9" ht="15" x14ac:dyDescent="0.25">
      <c r="B19" s="6" t="s">
        <v>131</v>
      </c>
      <c r="C19" s="6" t="str">
        <f>_xlfn.XLOOKUP(db[[#This Row],[Code]],fy_16[Code],fy_16[P&amp;L account])</f>
        <v>D&amp;A</v>
      </c>
      <c r="D19" s="6">
        <f>_xlfn.XLOOKUP(db[[#This Row],[Code]],fy_16[Code],fy_16[Partner company])</f>
        <v>1</v>
      </c>
      <c r="E19" s="6" t="str">
        <f>_xlfn.XLOOKUP(db[[#This Row],[Code]],fy_16[Code],fy_16[Name of partner company])</f>
        <v>Not assigned</v>
      </c>
      <c r="F19" s="38">
        <f>-SUMIF(fy_16[Code],db[[#This Row],[Code]],fy_16[Amounts])</f>
        <v>-41981.296000000002</v>
      </c>
      <c r="G19" s="38">
        <f>-SUMIF(fy_17[Code],db[[#This Row],[Code]],fy_17[Amounts])</f>
        <v>0</v>
      </c>
      <c r="H19" s="38">
        <f>-SUMIF(fy_18[Code],db[[#This Row],[Code]],fy_18[Amounts])</f>
        <v>0</v>
      </c>
      <c r="I19" t="s">
        <v>72</v>
      </c>
    </row>
    <row r="20" spans="2:9" ht="15" x14ac:dyDescent="0.25">
      <c r="B20" s="6" t="s">
        <v>132</v>
      </c>
      <c r="C20" s="6" t="str">
        <f>_xlfn.XLOOKUP(db[[#This Row],[Code]],fy_16[Code],fy_16[P&amp;L account])</f>
        <v>Corporate recharges</v>
      </c>
      <c r="D20" s="6" t="str">
        <f>_xlfn.XLOOKUP(db[[#This Row],[Code]],fy_16[Code],fy_16[Partner company])</f>
        <v>1</v>
      </c>
      <c r="E20" s="6" t="str">
        <f>_xlfn.XLOOKUP(db[[#This Row],[Code]],fy_16[Code],fy_16[Name of partner company])</f>
        <v>Greeny Ltd</v>
      </c>
      <c r="F20" s="38">
        <f>-SUMIF(fy_16[Code],db[[#This Row],[Code]],fy_16[Amounts])</f>
        <v>2156147.4</v>
      </c>
      <c r="G20" s="38">
        <f>-SUMIF(fy_17[Code],db[[#This Row],[Code]],fy_17[Amounts])</f>
        <v>1643711.145</v>
      </c>
      <c r="H20" s="38">
        <f>-SUMIF(fy_18[Code],db[[#This Row],[Code]],fy_18[Amounts])</f>
        <v>1418521.358</v>
      </c>
      <c r="I20" t="s">
        <v>225</v>
      </c>
    </row>
    <row r="21" spans="2:9" ht="15" x14ac:dyDescent="0.25">
      <c r="B21" s="6" t="s">
        <v>133</v>
      </c>
      <c r="C21" s="6" t="str">
        <f>_xlfn.XLOOKUP(db[[#This Row],[Code]],fy_16[Code],fy_16[P&amp;L account])</f>
        <v>Corporate recharges</v>
      </c>
      <c r="D21" s="6">
        <f>_xlfn.XLOOKUP(db[[#This Row],[Code]],fy_16[Code],fy_16[Partner company])</f>
        <v>14</v>
      </c>
      <c r="E21" s="6" t="str">
        <f>_xlfn.XLOOKUP(db[[#This Row],[Code]],fy_16[Code],fy_16[Name of partner company])</f>
        <v>Generco Cosmetics Ltd</v>
      </c>
      <c r="F21" s="38">
        <f>-SUMIF(fy_16[Code],db[[#This Row],[Code]],fy_16[Amounts])</f>
        <v>291428.55199999997</v>
      </c>
      <c r="G21" s="38">
        <f>-SUMIF(fy_17[Code],db[[#This Row],[Code]],fy_17[Amounts])</f>
        <v>0</v>
      </c>
      <c r="H21" s="38">
        <f>-SUMIF(fy_18[Code],db[[#This Row],[Code]],fy_18[Amounts])</f>
        <v>0</v>
      </c>
      <c r="I21" t="s">
        <v>225</v>
      </c>
    </row>
    <row r="22" spans="2:9" ht="15" x14ac:dyDescent="0.25">
      <c r="B22" s="6" t="s">
        <v>134</v>
      </c>
      <c r="C22" s="6" t="str">
        <f>_xlfn.XLOOKUP(db[[#This Row],[Code]],fy_16[Code],fy_16[P&amp;L account])</f>
        <v>Corporate recharges</v>
      </c>
      <c r="D22" s="6">
        <f>_xlfn.XLOOKUP(db[[#This Row],[Code]],fy_16[Code],fy_16[Partner company])</f>
        <v>1037</v>
      </c>
      <c r="E22" s="6" t="str">
        <f>_xlfn.XLOOKUP(db[[#This Row],[Code]],fy_16[Code],fy_16[Name of partner company])</f>
        <v>Generco Canada JSC</v>
      </c>
      <c r="F22" s="38">
        <f>-SUMIF(fy_16[Code],db[[#This Row],[Code]],fy_16[Amounts])</f>
        <v>0</v>
      </c>
      <c r="G22" s="38">
        <f>-SUMIF(fy_17[Code],db[[#This Row],[Code]],fy_17[Amounts])</f>
        <v>0</v>
      </c>
      <c r="H22" s="38">
        <f>-SUMIF(fy_18[Code],db[[#This Row],[Code]],fy_18[Amounts])</f>
        <v>0</v>
      </c>
      <c r="I22" t="s">
        <v>225</v>
      </c>
    </row>
    <row r="23" spans="2:9" ht="15" x14ac:dyDescent="0.25">
      <c r="B23" s="6" t="s">
        <v>135</v>
      </c>
      <c r="C23" s="6" t="str">
        <f>_xlfn.XLOOKUP(db[[#This Row],[Code]],fy_16[Code],fy_16[P&amp;L account])</f>
        <v>Corporate recharges</v>
      </c>
      <c r="D23" s="6" t="str">
        <f>_xlfn.XLOOKUP(db[[#This Row],[Code]],fy_16[Code],fy_16[Partner company])</f>
        <v>1087</v>
      </c>
      <c r="E23" s="6" t="str">
        <f>_xlfn.XLOOKUP(db[[#This Row],[Code]],fy_16[Code],fy_16[Name of partner company])</f>
        <v>Gener Beauty GmbH</v>
      </c>
      <c r="F23" s="38">
        <f>-SUMIF(fy_16[Code],db[[#This Row],[Code]],fy_16[Amounts])</f>
        <v>33736.5</v>
      </c>
      <c r="G23" s="38">
        <f>-SUMIF(fy_17[Code],db[[#This Row],[Code]],fy_17[Amounts])</f>
        <v>0</v>
      </c>
      <c r="H23" s="38">
        <f>-SUMIF(fy_18[Code],db[[#This Row],[Code]],fy_18[Amounts])</f>
        <v>0</v>
      </c>
      <c r="I23" t="s">
        <v>225</v>
      </c>
    </row>
    <row r="24" spans="2:9" ht="15" x14ac:dyDescent="0.25">
      <c r="B24" s="6" t="s">
        <v>136</v>
      </c>
      <c r="C24" s="6" t="str">
        <f>_xlfn.XLOOKUP(db[[#This Row],[Code]],fy_16[Code],fy_16[P&amp;L account])</f>
        <v>Corporate recharges</v>
      </c>
      <c r="D24" s="6">
        <f>_xlfn.XLOOKUP(db[[#This Row],[Code]],fy_16[Code],fy_16[Partner company])</f>
        <v>1009</v>
      </c>
      <c r="E24" s="6" t="str">
        <f>_xlfn.XLOOKUP(db[[#This Row],[Code]],fy_16[Code],fy_16[Name of partner company])</f>
        <v>Green Ventures Ltd</v>
      </c>
      <c r="F24" s="38">
        <f>-SUMIF(fy_16[Code],db[[#This Row],[Code]],fy_16[Amounts])</f>
        <v>0</v>
      </c>
      <c r="G24" s="38">
        <f>-SUMIF(fy_17[Code],db[[#This Row],[Code]],fy_17[Amounts])</f>
        <v>0</v>
      </c>
      <c r="H24" s="38">
        <f>-SUMIF(fy_18[Code],db[[#This Row],[Code]],fy_18[Amounts])</f>
        <v>0</v>
      </c>
      <c r="I24" t="s">
        <v>225</v>
      </c>
    </row>
    <row r="25" spans="2:9" ht="15" x14ac:dyDescent="0.25">
      <c r="B25" s="6" t="s">
        <v>137</v>
      </c>
      <c r="C25" s="6" t="str">
        <f>_xlfn.XLOOKUP(db[[#This Row],[Code]],fy_16[Code],fy_16[P&amp;L account])</f>
        <v>Corporate recharges</v>
      </c>
      <c r="D25" s="6">
        <f>_xlfn.XLOOKUP(db[[#This Row],[Code]],fy_16[Code],fy_16[Partner company])</f>
        <v>1007</v>
      </c>
      <c r="E25" s="6" t="str">
        <f>_xlfn.XLOOKUP(db[[#This Row],[Code]],fy_16[Code],fy_16[Name of partner company])</f>
        <v>Generco Sunshine JSC</v>
      </c>
      <c r="F25" s="38">
        <f>-SUMIF(fy_16[Code],db[[#This Row],[Code]],fy_16[Amounts])</f>
        <v>0</v>
      </c>
      <c r="G25" s="38">
        <f>-SUMIF(fy_17[Code],db[[#This Row],[Code]],fy_17[Amounts])</f>
        <v>0</v>
      </c>
      <c r="H25" s="38">
        <f>-SUMIF(fy_18[Code],db[[#This Row],[Code]],fy_18[Amounts])</f>
        <v>0</v>
      </c>
      <c r="I25" t="s">
        <v>225</v>
      </c>
    </row>
    <row r="26" spans="2:9" ht="15" x14ac:dyDescent="0.25">
      <c r="B26" s="6" t="s">
        <v>138</v>
      </c>
      <c r="C26" s="6" t="str">
        <f>_xlfn.XLOOKUP(db[[#This Row],[Code]],fy_16[Code],fy_16[P&amp;L account])</f>
        <v>Corporate recharges</v>
      </c>
      <c r="D26" s="6">
        <f>_xlfn.XLOOKUP(db[[#This Row],[Code]],fy_16[Code],fy_16[Partner company])</f>
        <v>1008</v>
      </c>
      <c r="E26" s="6" t="str">
        <f>_xlfn.XLOOKUP(db[[#This Row],[Code]],fy_16[Code],fy_16[Name of partner company])</f>
        <v>Greenco Ltd</v>
      </c>
      <c r="F26" s="38">
        <f>-SUMIF(fy_16[Code],db[[#This Row],[Code]],fy_16[Amounts])</f>
        <v>0</v>
      </c>
      <c r="G26" s="38">
        <f>-SUMIF(fy_17[Code],db[[#This Row],[Code]],fy_17[Amounts])</f>
        <v>0</v>
      </c>
      <c r="H26" s="38">
        <f>-SUMIF(fy_18[Code],db[[#This Row],[Code]],fy_18[Amounts])</f>
        <v>0</v>
      </c>
      <c r="I26" t="s">
        <v>225</v>
      </c>
    </row>
    <row r="27" spans="2:9" ht="15" x14ac:dyDescent="0.25">
      <c r="B27" s="6" t="s">
        <v>139</v>
      </c>
      <c r="C27" s="6" t="str">
        <f>_xlfn.XLOOKUP(db[[#This Row],[Code]],fy_16[Code],fy_16[P&amp;L account])</f>
        <v>Corporate recharges</v>
      </c>
      <c r="D27" s="6">
        <f>_xlfn.XLOOKUP(db[[#This Row],[Code]],fy_16[Code],fy_16[Partner company])</f>
        <v>1240</v>
      </c>
      <c r="E27" s="6" t="str">
        <f>_xlfn.XLOOKUP(db[[#This Row],[Code]],fy_16[Code],fy_16[Name of partner company])</f>
        <v xml:space="preserve">Generco UK </v>
      </c>
      <c r="F27" s="38">
        <f>-SUMIF(fy_16[Code],db[[#This Row],[Code]],fy_16[Amounts])</f>
        <v>199600.4</v>
      </c>
      <c r="G27" s="38">
        <f>-SUMIF(fy_17[Code],db[[#This Row],[Code]],fy_17[Amounts])</f>
        <v>10461.36</v>
      </c>
      <c r="H27" s="38">
        <f>-SUMIF(fy_18[Code],db[[#This Row],[Code]],fy_18[Amounts])</f>
        <v>0</v>
      </c>
      <c r="I27" t="s">
        <v>225</v>
      </c>
    </row>
    <row r="28" spans="2:9" ht="15" x14ac:dyDescent="0.25">
      <c r="B28" s="6" t="s">
        <v>140</v>
      </c>
      <c r="C28" s="6" t="str">
        <f>_xlfn.XLOOKUP(db[[#This Row],[Code]],fy_16[Code],fy_16[P&amp;L account])</f>
        <v>Corporate recharges</v>
      </c>
      <c r="D28" s="6">
        <f>_xlfn.XLOOKUP(db[[#This Row],[Code]],fy_16[Code],fy_16[Partner company])</f>
        <v>111111</v>
      </c>
      <c r="E28" s="6" t="str">
        <f>_xlfn.XLOOKUP(db[[#This Row],[Code]],fy_16[Code],fy_16[Name of partner company])</f>
        <v>External</v>
      </c>
      <c r="F28" s="38">
        <f>-SUMIF(fy_16[Code],db[[#This Row],[Code]],fy_16[Amounts])</f>
        <v>539141.4</v>
      </c>
      <c r="G28" s="38">
        <f>-SUMIF(fy_17[Code],db[[#This Row],[Code]],fy_17[Amounts])</f>
        <v>6785.94</v>
      </c>
      <c r="H28" s="38">
        <f>-SUMIF(fy_18[Code],db[[#This Row],[Code]],fy_18[Amounts])</f>
        <v>902857.84299999999</v>
      </c>
      <c r="I28" t="s">
        <v>225</v>
      </c>
    </row>
    <row r="29" spans="2:9" ht="15" x14ac:dyDescent="0.25">
      <c r="B29" s="6" t="s">
        <v>141</v>
      </c>
      <c r="C29" s="6" t="str">
        <f>_xlfn.XLOOKUP(db[[#This Row],[Code]],fy_16[Code],fy_16[P&amp;L account])</f>
        <v>Other income</v>
      </c>
      <c r="D29" s="6">
        <f>_xlfn.XLOOKUP(db[[#This Row],[Code]],fy_16[Code],fy_16[Partner company])</f>
        <v>111111</v>
      </c>
      <c r="E29" s="6" t="str">
        <f>_xlfn.XLOOKUP(db[[#This Row],[Code]],fy_16[Code],fy_16[Name of partner company])</f>
        <v>External</v>
      </c>
      <c r="F29" s="38">
        <f>-SUMIF(fy_16[Code],db[[#This Row],[Code]],fy_16[Amounts])</f>
        <v>57.221999999999994</v>
      </c>
      <c r="G29" s="38">
        <f>-SUMIF(fy_17[Code],db[[#This Row],[Code]],fy_17[Amounts])</f>
        <v>-9793.84</v>
      </c>
      <c r="H29" s="38">
        <f>-SUMIF(fy_18[Code],db[[#This Row],[Code]],fy_18[Amounts])</f>
        <v>15872.001999999999</v>
      </c>
      <c r="I29" t="s">
        <v>74</v>
      </c>
    </row>
    <row r="30" spans="2:9" ht="15" x14ac:dyDescent="0.25">
      <c r="B30" s="6" t="s">
        <v>142</v>
      </c>
      <c r="C30" s="6" t="str">
        <f>_xlfn.XLOOKUP(db[[#This Row],[Code]],fy_16[Code],fy_16[P&amp;L account])</f>
        <v>Marketing expenses</v>
      </c>
      <c r="D30" s="6">
        <f>_xlfn.XLOOKUP(db[[#This Row],[Code]],fy_16[Code],fy_16[Partner company])</f>
        <v>111111</v>
      </c>
      <c r="E30" s="6" t="str">
        <f>_xlfn.XLOOKUP(db[[#This Row],[Code]],fy_16[Code],fy_16[Name of partner company])</f>
        <v>External</v>
      </c>
      <c r="F30" s="38">
        <f>-SUMIF(fy_16[Code],db[[#This Row],[Code]],fy_16[Amounts])</f>
        <v>-22314.879999999997</v>
      </c>
      <c r="G30" s="38">
        <f>-SUMIF(fy_17[Code],db[[#This Row],[Code]],fy_17[Amounts])</f>
        <v>-65947.7</v>
      </c>
      <c r="H30" s="38">
        <f>-SUMIF(fy_18[Code],db[[#This Row],[Code]],fy_18[Amounts])</f>
        <v>-57.317999999999998</v>
      </c>
      <c r="I30" t="s">
        <v>226</v>
      </c>
    </row>
    <row r="31" spans="2:9" ht="15" x14ac:dyDescent="0.25">
      <c r="B31" s="6" t="s">
        <v>143</v>
      </c>
      <c r="C31" s="6" t="str">
        <f>_xlfn.XLOOKUP(db[[#This Row],[Code]],fy_16[Code],fy_16[P&amp;L account])</f>
        <v>Software&amp;IT</v>
      </c>
      <c r="D31" s="6">
        <f>_xlfn.XLOOKUP(db[[#This Row],[Code]],fy_16[Code],fy_16[Partner company])</f>
        <v>88</v>
      </c>
      <c r="E31" s="6" t="str">
        <f>_xlfn.XLOOKUP(db[[#This Row],[Code]],fy_16[Code],fy_16[Name of partner company])</f>
        <v>Generco Ltd</v>
      </c>
      <c r="F31" s="38">
        <f>-SUMIF(fy_16[Code],db[[#This Row],[Code]],fy_16[Amounts])</f>
        <v>-204000</v>
      </c>
      <c r="G31" s="38">
        <f>-SUMIF(fy_17[Code],db[[#This Row],[Code]],fy_17[Amounts])</f>
        <v>0</v>
      </c>
      <c r="H31" s="38">
        <f>-SUMIF(fy_18[Code],db[[#This Row],[Code]],fy_18[Amounts])</f>
        <v>0</v>
      </c>
      <c r="I31" t="s">
        <v>226</v>
      </c>
    </row>
    <row r="32" spans="2:9" ht="15" x14ac:dyDescent="0.25">
      <c r="B32" s="6" t="s">
        <v>144</v>
      </c>
      <c r="C32" s="6" t="str">
        <f>_xlfn.XLOOKUP(db[[#This Row],[Code]],fy_16[Code],fy_16[P&amp;L account])</f>
        <v>Software&amp;IT</v>
      </c>
      <c r="D32" s="6">
        <f>_xlfn.XLOOKUP(db[[#This Row],[Code]],fy_16[Code],fy_16[Partner company])</f>
        <v>111111</v>
      </c>
      <c r="E32" s="6" t="str">
        <f>_xlfn.XLOOKUP(db[[#This Row],[Code]],fy_16[Code],fy_16[Name of partner company])</f>
        <v>External</v>
      </c>
      <c r="F32" s="38">
        <f>-SUMIF(fy_16[Code],db[[#This Row],[Code]],fy_16[Amounts])</f>
        <v>-138.41399999999999</v>
      </c>
      <c r="G32" s="38">
        <f>-SUMIF(fy_17[Code],db[[#This Row],[Code]],fy_17[Amounts])</f>
        <v>-5138.91</v>
      </c>
      <c r="H32" s="38">
        <f>-SUMIF(fy_18[Code],db[[#This Row],[Code]],fy_18[Amounts])</f>
        <v>-19198.66</v>
      </c>
      <c r="I32" t="s">
        <v>226</v>
      </c>
    </row>
    <row r="33" spans="2:9" ht="15" x14ac:dyDescent="0.25">
      <c r="B33" s="6" t="s">
        <v>145</v>
      </c>
      <c r="C33" s="6" t="str">
        <f>_xlfn.XLOOKUP(db[[#This Row],[Code]],fy_16[Code],fy_16[P&amp;L account])</f>
        <v>Leasings</v>
      </c>
      <c r="D33" s="6">
        <f>_xlfn.XLOOKUP(db[[#This Row],[Code]],fy_16[Code],fy_16[Partner company])</f>
        <v>111111</v>
      </c>
      <c r="E33" s="6" t="str">
        <f>_xlfn.XLOOKUP(db[[#This Row],[Code]],fy_16[Code],fy_16[Name of partner company])</f>
        <v>External</v>
      </c>
      <c r="F33" s="38">
        <f>-SUMIF(fy_16[Code],db[[#This Row],[Code]],fy_16[Amounts])</f>
        <v>-1127445.872</v>
      </c>
      <c r="G33" s="38">
        <f>-SUMIF(fy_17[Code],db[[#This Row],[Code]],fy_17[Amounts])</f>
        <v>-1055381.4750000001</v>
      </c>
      <c r="H33" s="38">
        <f>-SUMIF(fy_18[Code],db[[#This Row],[Code]],fy_18[Amounts])</f>
        <v>172933.44899999999</v>
      </c>
      <c r="I33" t="s">
        <v>228</v>
      </c>
    </row>
    <row r="34" spans="2:9" ht="15" x14ac:dyDescent="0.25">
      <c r="B34" s="6" t="s">
        <v>146</v>
      </c>
      <c r="C34" s="6" t="str">
        <f>_xlfn.XLOOKUP(db[[#This Row],[Code]],fy_16[Code],fy_16[P&amp;L account])</f>
        <v>Service expenses</v>
      </c>
      <c r="D34" s="6" t="str">
        <f>_xlfn.XLOOKUP(db[[#This Row],[Code]],fy_16[Code],fy_16[Partner company])</f>
        <v>43</v>
      </c>
      <c r="E34" s="6" t="str">
        <f>_xlfn.XLOOKUP(db[[#This Row],[Code]],fy_16[Code],fy_16[Name of partner company])</f>
        <v>Greeny France SL</v>
      </c>
      <c r="F34" s="38">
        <f>-SUMIF(fy_16[Code],db[[#This Row],[Code]],fy_16[Amounts])</f>
        <v>-133722</v>
      </c>
      <c r="G34" s="38">
        <f>-SUMIF(fy_17[Code],db[[#This Row],[Code]],fy_17[Amounts])</f>
        <v>0</v>
      </c>
      <c r="H34" s="38">
        <f>-SUMIF(fy_18[Code],db[[#This Row],[Code]],fy_18[Amounts])</f>
        <v>0</v>
      </c>
      <c r="I34" t="s">
        <v>229</v>
      </c>
    </row>
    <row r="35" spans="2:9" ht="15" x14ac:dyDescent="0.25">
      <c r="B35" s="6" t="s">
        <v>147</v>
      </c>
      <c r="C35" s="6" t="str">
        <f>_xlfn.XLOOKUP(db[[#This Row],[Code]],fy_16[Code],fy_16[P&amp;L account])</f>
        <v>Service expenses</v>
      </c>
      <c r="D35" s="6" t="str">
        <f>_xlfn.XLOOKUP(db[[#This Row],[Code]],fy_16[Code],fy_16[Partner company])</f>
        <v>2240</v>
      </c>
      <c r="E35" s="6" t="str">
        <f>_xlfn.XLOOKUP(db[[#This Row],[Code]],fy_16[Code],fy_16[Name of partner company])</f>
        <v>Greeny Germany GmbH</v>
      </c>
      <c r="F35" s="38">
        <f>-SUMIF(fy_16[Code],db[[#This Row],[Code]],fy_16[Amounts])</f>
        <v>-328061.886</v>
      </c>
      <c r="G35" s="38">
        <f>-SUMIF(fy_17[Code],db[[#This Row],[Code]],fy_17[Amounts])</f>
        <v>-430845.34499999997</v>
      </c>
      <c r="H35" s="38">
        <f>-SUMIF(fy_18[Code],db[[#This Row],[Code]],fy_18[Amounts])</f>
        <v>0</v>
      </c>
      <c r="I35" t="s">
        <v>229</v>
      </c>
    </row>
    <row r="36" spans="2:9" ht="15" x14ac:dyDescent="0.25">
      <c r="B36" s="6" t="s">
        <v>148</v>
      </c>
      <c r="C36" s="6" t="str">
        <f>_xlfn.XLOOKUP(db[[#This Row],[Code]],fy_16[Code],fy_16[P&amp;L account])</f>
        <v>Service expenses</v>
      </c>
      <c r="D36" s="6">
        <f>_xlfn.XLOOKUP(db[[#This Row],[Code]],fy_16[Code],fy_16[Partner company])</f>
        <v>111111</v>
      </c>
      <c r="E36" s="6" t="str">
        <f>_xlfn.XLOOKUP(db[[#This Row],[Code]],fy_16[Code],fy_16[Name of partner company])</f>
        <v>External</v>
      </c>
      <c r="F36" s="38">
        <f>-SUMIF(fy_16[Code],db[[#This Row],[Code]],fy_16[Amounts])</f>
        <v>-2081304.3219999997</v>
      </c>
      <c r="G36" s="38">
        <f>-SUMIF(fy_17[Code],db[[#This Row],[Code]],fy_17[Amounts])</f>
        <v>-1130021</v>
      </c>
      <c r="H36" s="38">
        <f>-SUMIF(fy_18[Code],db[[#This Row],[Code]],fy_18[Amounts])</f>
        <v>-1481408.47</v>
      </c>
      <c r="I36" t="s">
        <v>229</v>
      </c>
    </row>
    <row r="37" spans="2:9" ht="15" x14ac:dyDescent="0.25">
      <c r="B37" s="6" t="s">
        <v>149</v>
      </c>
      <c r="C37" s="6" t="str">
        <f>_xlfn.XLOOKUP(db[[#This Row],[Code]],fy_16[Code],fy_16[P&amp;L account])</f>
        <v>Charges and contributions</v>
      </c>
      <c r="D37" s="6">
        <f>_xlfn.XLOOKUP(db[[#This Row],[Code]],fy_16[Code],fy_16[Partner company])</f>
        <v>111111</v>
      </c>
      <c r="E37" s="6" t="str">
        <f>_xlfn.XLOOKUP(db[[#This Row],[Code]],fy_16[Code],fy_16[Name of partner company])</f>
        <v>External</v>
      </c>
      <c r="F37" s="38">
        <f>-SUMIF(fy_16[Code],db[[#This Row],[Code]],fy_16[Amounts])</f>
        <v>-33410.031999999999</v>
      </c>
      <c r="G37" s="38">
        <f>-SUMIF(fy_17[Code],db[[#This Row],[Code]],fy_17[Amounts])</f>
        <v>-7293.5450000000001</v>
      </c>
      <c r="H37" s="38">
        <f>-SUMIF(fy_18[Code],db[[#This Row],[Code]],fy_18[Amounts])</f>
        <v>-40048.799999999996</v>
      </c>
      <c r="I37" t="s">
        <v>226</v>
      </c>
    </row>
    <row r="38" spans="2:9" ht="15" x14ac:dyDescent="0.25">
      <c r="B38" s="6" t="s">
        <v>150</v>
      </c>
      <c r="C38" s="6" t="str">
        <f>_xlfn.XLOOKUP(db[[#This Row],[Code]],fy_16[Code],fy_16[P&amp;L account])</f>
        <v>Insurance expenses</v>
      </c>
      <c r="D38" s="6">
        <f>_xlfn.XLOOKUP(db[[#This Row],[Code]],fy_16[Code],fy_16[Partner company])</f>
        <v>111111</v>
      </c>
      <c r="E38" s="6" t="str">
        <f>_xlfn.XLOOKUP(db[[#This Row],[Code]],fy_16[Code],fy_16[Name of partner company])</f>
        <v>External</v>
      </c>
      <c r="F38" s="38">
        <f>-SUMIF(fy_16[Code],db[[#This Row],[Code]],fy_16[Amounts])</f>
        <v>-213090.85199999998</v>
      </c>
      <c r="G38" s="38">
        <f>-SUMIF(fy_17[Code],db[[#This Row],[Code]],fy_17[Amounts])</f>
        <v>-48468.665000000001</v>
      </c>
      <c r="H38" s="38">
        <f>-SUMIF(fy_18[Code],db[[#This Row],[Code]],fy_18[Amounts])</f>
        <v>-64039.82699999999</v>
      </c>
      <c r="I38" t="s">
        <v>226</v>
      </c>
    </row>
    <row r="39" spans="2:9" ht="15" x14ac:dyDescent="0.25">
      <c r="B39" s="6" t="s">
        <v>151</v>
      </c>
      <c r="C39" s="6" t="str">
        <f>_xlfn.XLOOKUP(db[[#This Row],[Code]],fy_16[Code],fy_16[P&amp;L account])</f>
        <v>Travel expenses</v>
      </c>
      <c r="D39" s="6">
        <f>_xlfn.XLOOKUP(db[[#This Row],[Code]],fy_16[Code],fy_16[Partner company])</f>
        <v>111111</v>
      </c>
      <c r="E39" s="6" t="str">
        <f>_xlfn.XLOOKUP(db[[#This Row],[Code]],fy_16[Code],fy_16[Name of partner company])</f>
        <v>External</v>
      </c>
      <c r="F39" s="38">
        <f>-SUMIF(fy_16[Code],db[[#This Row],[Code]],fy_16[Amounts])</f>
        <v>-1813525.004</v>
      </c>
      <c r="G39" s="38">
        <f>-SUMIF(fy_17[Code],db[[#This Row],[Code]],fy_17[Amounts])</f>
        <v>-2393259.19</v>
      </c>
      <c r="H39" s="38">
        <f>-SUMIF(fy_18[Code],db[[#This Row],[Code]],fy_18[Amounts])</f>
        <v>-2514431.8869999996</v>
      </c>
      <c r="I39" t="s">
        <v>230</v>
      </c>
    </row>
    <row r="40" spans="2:9" ht="15" x14ac:dyDescent="0.25">
      <c r="B40" s="6" t="s">
        <v>152</v>
      </c>
      <c r="C40" s="6" t="str">
        <f>_xlfn.XLOOKUP(db[[#This Row],[Code]],fy_16[Code],fy_16[P&amp;L account])</f>
        <v>Utility expenses</v>
      </c>
      <c r="D40" s="6">
        <f>_xlfn.XLOOKUP(db[[#This Row],[Code]],fy_16[Code],fy_16[Partner company])</f>
        <v>111111</v>
      </c>
      <c r="E40" s="6" t="str">
        <f>_xlfn.XLOOKUP(db[[#This Row],[Code]],fy_16[Code],fy_16[Name of partner company])</f>
        <v>External</v>
      </c>
      <c r="F40" s="38">
        <f>-SUMIF(fy_16[Code],db[[#This Row],[Code]],fy_16[Amounts])</f>
        <v>-5552.2</v>
      </c>
      <c r="G40" s="38">
        <f>-SUMIF(fy_17[Code],db[[#This Row],[Code]],fy_17[Amounts])</f>
        <v>-23069.654999999999</v>
      </c>
      <c r="H40" s="38">
        <f>-SUMIF(fy_18[Code],db[[#This Row],[Code]],fy_18[Amounts])</f>
        <v>-4194.2999999999993</v>
      </c>
      <c r="I40" t="s">
        <v>226</v>
      </c>
    </row>
    <row r="41" spans="2:9" ht="15" x14ac:dyDescent="0.25">
      <c r="B41" s="6" t="s">
        <v>153</v>
      </c>
      <c r="C41" s="6" t="str">
        <f>_xlfn.XLOOKUP(db[[#This Row],[Code]],fy_16[Code],fy_16[P&amp;L account])</f>
        <v>Legal expenses</v>
      </c>
      <c r="D41" s="6">
        <f>_xlfn.XLOOKUP(db[[#This Row],[Code]],fy_16[Code],fy_16[Partner company])</f>
        <v>111111</v>
      </c>
      <c r="E41" s="6" t="str">
        <f>_xlfn.XLOOKUP(db[[#This Row],[Code]],fy_16[Code],fy_16[Name of partner company])</f>
        <v>External</v>
      </c>
      <c r="F41" s="38">
        <f>-SUMIF(fy_16[Code],db[[#This Row],[Code]],fy_16[Amounts])</f>
        <v>-43868.975999999995</v>
      </c>
      <c r="G41" s="38">
        <f>-SUMIF(fy_17[Code],db[[#This Row],[Code]],fy_17[Amounts])</f>
        <v>-208366.935</v>
      </c>
      <c r="H41" s="38">
        <f>-SUMIF(fy_18[Code],db[[#This Row],[Code]],fy_18[Amounts])</f>
        <v>-106525.708</v>
      </c>
      <c r="I41" t="s">
        <v>226</v>
      </c>
    </row>
    <row r="42" spans="2:9" ht="15" x14ac:dyDescent="0.25">
      <c r="B42" s="6" t="s">
        <v>154</v>
      </c>
      <c r="C42" s="6" t="str">
        <f>_xlfn.XLOOKUP(db[[#This Row],[Code]],fy_16[Code],fy_16[P&amp;L account])</f>
        <v>Misc costs</v>
      </c>
      <c r="D42" s="6">
        <f>_xlfn.XLOOKUP(db[[#This Row],[Code]],fy_16[Code],fy_16[Partner company])</f>
        <v>111101</v>
      </c>
      <c r="E42" s="6" t="str">
        <f>_xlfn.XLOOKUP(db[[#This Row],[Code]],fy_16[Code],fy_16[Name of partner company])</f>
        <v>Not assigned</v>
      </c>
      <c r="F42" s="38">
        <f>-SUMIF(fy_16[Code],db[[#This Row],[Code]],fy_16[Amounts])</f>
        <v>-10934.671999999999</v>
      </c>
      <c r="G42" s="38">
        <f>-SUMIF(fy_17[Code],db[[#This Row],[Code]],fy_17[Amounts])</f>
        <v>-20323.309999999998</v>
      </c>
      <c r="H42" s="38">
        <f>-SUMIF(fy_18[Code],db[[#This Row],[Code]],fy_18[Amounts])</f>
        <v>-109811.284</v>
      </c>
      <c r="I42" t="s">
        <v>226</v>
      </c>
    </row>
    <row r="43" spans="2:9" ht="15" x14ac:dyDescent="0.25">
      <c r="B43" s="6" t="s">
        <v>155</v>
      </c>
      <c r="C43" s="6" t="str">
        <f>_xlfn.XLOOKUP(db[[#This Row],[Code]],fy_16[Code],fy_16[P&amp;L account])</f>
        <v>Consulting fees</v>
      </c>
      <c r="D43" s="6">
        <f>_xlfn.XLOOKUP(db[[#This Row],[Code]],fy_16[Code],fy_16[Partner company])</f>
        <v>111111</v>
      </c>
      <c r="E43" s="6" t="str">
        <f>_xlfn.XLOOKUP(db[[#This Row],[Code]],fy_16[Code],fy_16[Name of partner company])</f>
        <v>External</v>
      </c>
      <c r="F43" s="38">
        <f>-SUMIF(fy_16[Code],db[[#This Row],[Code]],fy_16[Amounts])</f>
        <v>-20400</v>
      </c>
      <c r="G43" s="38">
        <f>-SUMIF(fy_17[Code],db[[#This Row],[Code]],fy_17[Amounts])</f>
        <v>-169489</v>
      </c>
      <c r="H43" s="38">
        <f>-SUMIF(fy_18[Code],db[[#This Row],[Code]],fy_18[Amounts])</f>
        <v>-61111.483999999997</v>
      </c>
      <c r="I43" t="s">
        <v>226</v>
      </c>
    </row>
    <row r="44" spans="2:9" ht="15" x14ac:dyDescent="0.25">
      <c r="B44" s="6" t="s">
        <v>156</v>
      </c>
      <c r="C44" s="6" t="str">
        <f>_xlfn.XLOOKUP(db[[#This Row],[Code]],fy_16[Code],fy_16[P&amp;L account])</f>
        <v>Misc extraordinary expenses</v>
      </c>
      <c r="D44" s="6">
        <f>_xlfn.XLOOKUP(db[[#This Row],[Code]],fy_16[Code],fy_16[Partner company])</f>
        <v>105</v>
      </c>
      <c r="E44" s="6" t="str">
        <f>_xlfn.XLOOKUP(db[[#This Row],[Code]],fy_16[Code],fy_16[Name of partner company])</f>
        <v>Generco Healthcare Ltd</v>
      </c>
      <c r="F44" s="38">
        <f>-SUMIF(fy_16[Code],db[[#This Row],[Code]],fy_16[Amounts])</f>
        <v>0</v>
      </c>
      <c r="G44" s="38">
        <f>-SUMIF(fy_17[Code],db[[#This Row],[Code]],fy_17[Amounts])</f>
        <v>0</v>
      </c>
      <c r="H44" s="38">
        <f>-SUMIF(fy_18[Code],db[[#This Row],[Code]],fy_18[Amounts])</f>
        <v>-1684415.2999999998</v>
      </c>
      <c r="I44" t="s">
        <v>226</v>
      </c>
    </row>
    <row r="45" spans="2:9" ht="15" x14ac:dyDescent="0.25">
      <c r="B45" s="6" t="s">
        <v>157</v>
      </c>
      <c r="C45" s="6" t="str">
        <f>_xlfn.XLOOKUP(db[[#This Row],[Code]],fy_16[Code],fy_16[P&amp;L account])</f>
        <v>Misc extraordinary expenses</v>
      </c>
      <c r="D45" s="6">
        <f>_xlfn.XLOOKUP(db[[#This Row],[Code]],fy_16[Code],fy_16[Partner company])</f>
        <v>111111</v>
      </c>
      <c r="E45" s="6" t="str">
        <f>_xlfn.XLOOKUP(db[[#This Row],[Code]],fy_16[Code],fy_16[Name of partner company])</f>
        <v>External</v>
      </c>
      <c r="F45" s="38">
        <f>-SUMIF(fy_16[Code],db[[#This Row],[Code]],fy_16[Amounts])</f>
        <v>-563918.152</v>
      </c>
      <c r="G45" s="38">
        <f>-SUMIF(fy_17[Code],db[[#This Row],[Code]],fy_17[Amounts])</f>
        <v>-638869.13</v>
      </c>
      <c r="H45" s="38">
        <f>-SUMIF(fy_18[Code],db[[#This Row],[Code]],fy_18[Amounts])</f>
        <v>-575626.2649999999</v>
      </c>
      <c r="I45" t="s">
        <v>226</v>
      </c>
    </row>
    <row r="46" spans="2:9" ht="15" x14ac:dyDescent="0.25">
      <c r="B46" s="6" t="s">
        <v>158</v>
      </c>
      <c r="C46" s="6" t="str">
        <f>_xlfn.XLOOKUP(db[[#This Row],[Code]],fy_16[Code],fy_16[P&amp;L account])</f>
        <v>Difference from eliminations</v>
      </c>
      <c r="D46" s="6">
        <f>_xlfn.XLOOKUP(db[[#This Row],[Code]],fy_16[Code],fy_16[Partner company])</f>
        <v>1009</v>
      </c>
      <c r="E46" s="6" t="str">
        <f>_xlfn.XLOOKUP(db[[#This Row],[Code]],fy_16[Code],fy_16[Name of partner company])</f>
        <v>Green Ventures Ltd</v>
      </c>
      <c r="F46" s="38">
        <f>-SUMIF(fy_16[Code],db[[#This Row],[Code]],fy_16[Amounts])</f>
        <v>0</v>
      </c>
      <c r="G46" s="38">
        <f>-SUMIF(fy_17[Code],db[[#This Row],[Code]],fy_17[Amounts])</f>
        <v>0</v>
      </c>
      <c r="H46" s="38">
        <f>-SUMIF(fy_18[Code],db[[#This Row],[Code]],fy_18[Amounts])</f>
        <v>0</v>
      </c>
      <c r="I46"/>
    </row>
    <row r="47" spans="2:9" ht="15" x14ac:dyDescent="0.25">
      <c r="B47" s="6" t="s">
        <v>159</v>
      </c>
      <c r="C47" s="6" t="str">
        <f>_xlfn.XLOOKUP(db[[#This Row],[Code]],fy_16[Code],fy_16[P&amp;L account])</f>
        <v>Difference from eliminations</v>
      </c>
      <c r="D47" s="6">
        <f>_xlfn.XLOOKUP(db[[#This Row],[Code]],fy_16[Code],fy_16[Partner company])</f>
        <v>1007</v>
      </c>
      <c r="E47" s="6" t="str">
        <f>_xlfn.XLOOKUP(db[[#This Row],[Code]],fy_16[Code],fy_16[Name of partner company])</f>
        <v>Generco Sunshine JSC</v>
      </c>
      <c r="F47" s="38">
        <f>-SUMIF(fy_16[Code],db[[#This Row],[Code]],fy_16[Amounts])</f>
        <v>0</v>
      </c>
      <c r="G47" s="38">
        <f>-SUMIF(fy_17[Code],db[[#This Row],[Code]],fy_17[Amounts])</f>
        <v>0</v>
      </c>
      <c r="H47" s="38">
        <f>-SUMIF(fy_18[Code],db[[#This Row],[Code]],fy_18[Amounts])</f>
        <v>0</v>
      </c>
      <c r="I47"/>
    </row>
    <row r="48" spans="2:9" ht="15" x14ac:dyDescent="0.25">
      <c r="B48" s="6" t="s">
        <v>160</v>
      </c>
      <c r="C48" s="6" t="str">
        <f>_xlfn.XLOOKUP(db[[#This Row],[Code]],fy_16[Code],fy_16[P&amp;L account])</f>
        <v>Difference from eliminations</v>
      </c>
      <c r="D48" s="6">
        <f>_xlfn.XLOOKUP(db[[#This Row],[Code]],fy_16[Code],fy_16[Partner company])</f>
        <v>1008</v>
      </c>
      <c r="E48" s="6" t="str">
        <f>_xlfn.XLOOKUP(db[[#This Row],[Code]],fy_16[Code],fy_16[Name of partner company])</f>
        <v>Greenco Ltd</v>
      </c>
      <c r="F48" s="38">
        <f>-SUMIF(fy_16[Code],db[[#This Row],[Code]],fy_16[Amounts])</f>
        <v>0</v>
      </c>
      <c r="G48" s="38">
        <f>-SUMIF(fy_17[Code],db[[#This Row],[Code]],fy_17[Amounts])</f>
        <v>0</v>
      </c>
      <c r="H48" s="38">
        <f>-SUMIF(fy_18[Code],db[[#This Row],[Code]],fy_18[Amounts])</f>
        <v>0</v>
      </c>
      <c r="I48"/>
    </row>
    <row r="49" spans="2:9" ht="15" x14ac:dyDescent="0.25">
      <c r="B49" s="6" t="s">
        <v>161</v>
      </c>
      <c r="C49" s="6" t="str">
        <f>_xlfn.XLOOKUP(db[[#This Row],[Code]],fy_16[Code],fy_16[P&amp;L account])</f>
        <v>Interest income</v>
      </c>
      <c r="D49" s="6">
        <f>_xlfn.XLOOKUP(db[[#This Row],[Code]],fy_16[Code],fy_16[Partner company])</f>
        <v>1009</v>
      </c>
      <c r="E49" s="6" t="str">
        <f>_xlfn.XLOOKUP(db[[#This Row],[Code]],fy_16[Code],fy_16[Name of partner company])</f>
        <v>Green Ventures Ltd</v>
      </c>
      <c r="F49" s="38">
        <f>-SUMIF(fy_16[Code],db[[#This Row],[Code]],fy_16[Amounts])</f>
        <v>0</v>
      </c>
      <c r="G49" s="38">
        <f>-SUMIF(fy_17[Code],db[[#This Row],[Code]],fy_17[Amounts])</f>
        <v>0</v>
      </c>
      <c r="H49" s="38">
        <f>-SUMIF(fy_18[Code],db[[#This Row],[Code]],fy_18[Amounts])</f>
        <v>0</v>
      </c>
      <c r="I49" t="s">
        <v>231</v>
      </c>
    </row>
    <row r="50" spans="2:9" ht="15" x14ac:dyDescent="0.25">
      <c r="B50" s="6" t="s">
        <v>162</v>
      </c>
      <c r="C50" s="6" t="str">
        <f>_xlfn.XLOOKUP(db[[#This Row],[Code]],fy_16[Code],fy_16[P&amp;L account])</f>
        <v>Interest income</v>
      </c>
      <c r="D50" s="6">
        <f>_xlfn.XLOOKUP(db[[#This Row],[Code]],fy_16[Code],fy_16[Partner company])</f>
        <v>1007</v>
      </c>
      <c r="E50" s="6" t="str">
        <f>_xlfn.XLOOKUP(db[[#This Row],[Code]],fy_16[Code],fy_16[Name of partner company])</f>
        <v>Generco Sunshine JSC</v>
      </c>
      <c r="F50" s="38">
        <f>-SUMIF(fy_16[Code],db[[#This Row],[Code]],fy_16[Amounts])</f>
        <v>0</v>
      </c>
      <c r="G50" s="38">
        <f>-SUMIF(fy_17[Code],db[[#This Row],[Code]],fy_17[Amounts])</f>
        <v>0</v>
      </c>
      <c r="H50" s="38">
        <f>-SUMIF(fy_18[Code],db[[#This Row],[Code]],fy_18[Amounts])</f>
        <v>0</v>
      </c>
      <c r="I50" t="s">
        <v>231</v>
      </c>
    </row>
    <row r="51" spans="2:9" ht="15" x14ac:dyDescent="0.25">
      <c r="B51" s="6" t="s">
        <v>163</v>
      </c>
      <c r="C51" s="6" t="str">
        <f>_xlfn.XLOOKUP(db[[#This Row],[Code]],fy_16[Code],fy_16[P&amp;L account])</f>
        <v>Interest income</v>
      </c>
      <c r="D51" s="6">
        <f>_xlfn.XLOOKUP(db[[#This Row],[Code]],fy_16[Code],fy_16[Partner company])</f>
        <v>1008</v>
      </c>
      <c r="E51" s="6" t="str">
        <f>_xlfn.XLOOKUP(db[[#This Row],[Code]],fy_16[Code],fy_16[Name of partner company])</f>
        <v>Greenco Ltd</v>
      </c>
      <c r="F51" s="38">
        <f>-SUMIF(fy_16[Code],db[[#This Row],[Code]],fy_16[Amounts])</f>
        <v>0</v>
      </c>
      <c r="G51" s="38">
        <f>-SUMIF(fy_17[Code],db[[#This Row],[Code]],fy_17[Amounts])</f>
        <v>0</v>
      </c>
      <c r="H51" s="38">
        <f>-SUMIF(fy_18[Code],db[[#This Row],[Code]],fy_18[Amounts])</f>
        <v>0</v>
      </c>
      <c r="I51" t="s">
        <v>231</v>
      </c>
    </row>
    <row r="52" spans="2:9" ht="15" x14ac:dyDescent="0.25">
      <c r="B52" s="6" t="s">
        <v>164</v>
      </c>
      <c r="C52" s="6" t="str">
        <f>_xlfn.XLOOKUP(db[[#This Row],[Code]],fy_16[Code],fy_16[P&amp;L account])</f>
        <v>Interest income</v>
      </c>
      <c r="D52" s="6">
        <f>_xlfn.XLOOKUP(db[[#This Row],[Code]],fy_16[Code],fy_16[Partner company])</f>
        <v>1240</v>
      </c>
      <c r="E52" s="6" t="str">
        <f>_xlfn.XLOOKUP(db[[#This Row],[Code]],fy_16[Code],fy_16[Name of partner company])</f>
        <v xml:space="preserve">Generco UK </v>
      </c>
      <c r="F52" s="38">
        <f>-SUMIF(fy_16[Code],db[[#This Row],[Code]],fy_16[Amounts])</f>
        <v>35810.228000000003</v>
      </c>
      <c r="G52" s="38">
        <f>-SUMIF(fy_17[Code],db[[#This Row],[Code]],fy_17[Amounts])</f>
        <v>34224.959999999999</v>
      </c>
      <c r="H52" s="38">
        <f>-SUMIF(fy_18[Code],db[[#This Row],[Code]],fy_18[Amounts])</f>
        <v>0</v>
      </c>
      <c r="I52" t="s">
        <v>231</v>
      </c>
    </row>
    <row r="53" spans="2:9" ht="15" x14ac:dyDescent="0.25">
      <c r="B53" s="6" t="s">
        <v>165</v>
      </c>
      <c r="C53" s="6" t="str">
        <f>_xlfn.XLOOKUP(db[[#This Row],[Code]],fy_16[Code],fy_16[P&amp;L account])</f>
        <v>Interest income</v>
      </c>
      <c r="D53" s="6">
        <f>_xlfn.XLOOKUP(db[[#This Row],[Code]],fy_16[Code],fy_16[Partner company])</f>
        <v>111111</v>
      </c>
      <c r="E53" s="6" t="str">
        <f>_xlfn.XLOOKUP(db[[#This Row],[Code]],fy_16[Code],fy_16[Name of partner company])</f>
        <v>External</v>
      </c>
      <c r="F53" s="38">
        <f>-SUMIF(fy_16[Code],db[[#This Row],[Code]],fy_16[Amounts])</f>
        <v>51927.417999999998</v>
      </c>
      <c r="G53" s="38">
        <f>-SUMIF(fy_17[Code],db[[#This Row],[Code]],fy_17[Amounts])</f>
        <v>2204.7199999999998</v>
      </c>
      <c r="H53" s="38">
        <f>-SUMIF(fy_18[Code],db[[#This Row],[Code]],fy_18[Amounts])</f>
        <v>73809.511999999988</v>
      </c>
      <c r="I53" t="s">
        <v>231</v>
      </c>
    </row>
    <row r="54" spans="2:9" ht="15" x14ac:dyDescent="0.25">
      <c r="B54" s="6" t="s">
        <v>166</v>
      </c>
      <c r="C54" s="6" t="str">
        <f>_xlfn.XLOOKUP(db[[#This Row],[Code]],fy_16[Code],fy_16[P&amp;L account])</f>
        <v>Capitalized interest</v>
      </c>
      <c r="D54" s="6">
        <f>_xlfn.XLOOKUP(db[[#This Row],[Code]],fy_16[Code],fy_16[Partner company])</f>
        <v>111101</v>
      </c>
      <c r="E54" s="6" t="str">
        <f>_xlfn.XLOOKUP(db[[#This Row],[Code]],fy_16[Code],fy_16[Name of partner company])</f>
        <v>Not assigned</v>
      </c>
      <c r="F54" s="38">
        <f>-SUMIF(fy_16[Code],db[[#This Row],[Code]],fy_16[Amounts])</f>
        <v>862270.63399999996</v>
      </c>
      <c r="G54" s="38">
        <f>-SUMIF(fy_17[Code],db[[#This Row],[Code]],fy_17[Amounts])</f>
        <v>0</v>
      </c>
      <c r="H54" s="38">
        <f>-SUMIF(fy_18[Code],db[[#This Row],[Code]],fy_18[Amounts])</f>
        <v>0</v>
      </c>
      <c r="I54" t="s">
        <v>67</v>
      </c>
    </row>
    <row r="55" spans="2:9" ht="15" x14ac:dyDescent="0.25">
      <c r="B55" s="6" t="s">
        <v>167</v>
      </c>
      <c r="C55" s="6" t="str">
        <f>_xlfn.XLOOKUP(db[[#This Row],[Code]],fy_16[Code],fy_16[P&amp;L account])</f>
        <v>Non-recurring costs</v>
      </c>
      <c r="D55" s="6">
        <f>_xlfn.XLOOKUP(db[[#This Row],[Code]],fy_16[Code],fy_16[Partner company])</f>
        <v>111101</v>
      </c>
      <c r="E55" s="6" t="str">
        <f>_xlfn.XLOOKUP(db[[#This Row],[Code]],fy_16[Code],fy_16[Name of partner company])</f>
        <v>Not assigned</v>
      </c>
      <c r="F55" s="38">
        <f>-SUMIF(fy_16[Code],db[[#This Row],[Code]],fy_16[Amounts])</f>
        <v>-22763</v>
      </c>
      <c r="G55" s="38">
        <f>-SUMIF(fy_17[Code],db[[#This Row],[Code]],fy_17[Amounts])</f>
        <v>-80617.179999999993</v>
      </c>
      <c r="H55" s="38">
        <f>-SUMIF(fy_18[Code],db[[#This Row],[Code]],fy_18[Amounts])</f>
        <v>-7173.195999999999</v>
      </c>
      <c r="I55" t="s">
        <v>232</v>
      </c>
    </row>
    <row r="56" spans="2:9" ht="15" x14ac:dyDescent="0.25">
      <c r="B56" s="6" t="s">
        <v>168</v>
      </c>
      <c r="C56" s="6" t="str">
        <f>_xlfn.XLOOKUP(db[[#This Row],[Code]],fy_16[Code],fy_16[P&amp;L account])</f>
        <v>Interest expenses</v>
      </c>
      <c r="D56" s="6">
        <f>_xlfn.XLOOKUP(db[[#This Row],[Code]],fy_16[Code],fy_16[Partner company])</f>
        <v>88</v>
      </c>
      <c r="E56" s="6" t="str">
        <f>_xlfn.XLOOKUP(db[[#This Row],[Code]],fy_16[Code],fy_16[Name of partner company])</f>
        <v>Generco Ltd</v>
      </c>
      <c r="F56" s="38">
        <f>-SUMIF(fy_16[Code],db[[#This Row],[Code]],fy_16[Amounts])</f>
        <v>-2930430.0120000001</v>
      </c>
      <c r="G56" s="38">
        <f>-SUMIF(fy_17[Code],db[[#This Row],[Code]],fy_17[Amounts])</f>
        <v>-2752704.22</v>
      </c>
      <c r="H56" s="38">
        <f>-SUMIF(fy_18[Code],db[[#This Row],[Code]],fy_18[Amounts])</f>
        <v>-2324465.8859999999</v>
      </c>
      <c r="I56" t="s">
        <v>231</v>
      </c>
    </row>
    <row r="57" spans="2:9" ht="15" x14ac:dyDescent="0.25">
      <c r="B57" s="6" t="s">
        <v>169</v>
      </c>
      <c r="C57" s="6" t="str">
        <f>_xlfn.XLOOKUP(db[[#This Row],[Code]],fy_16[Code],fy_16[P&amp;L account])</f>
        <v>Current taxes</v>
      </c>
      <c r="D57" s="6">
        <f>_xlfn.XLOOKUP(db[[#This Row],[Code]],fy_16[Code],fy_16[Partner company])</f>
        <v>111101</v>
      </c>
      <c r="E57" s="6" t="str">
        <f>_xlfn.XLOOKUP(db[[#This Row],[Code]],fy_16[Code],fy_16[Name of partner company])</f>
        <v>Not assigned</v>
      </c>
      <c r="F57" s="38">
        <f>-SUMIF(fy_16[Code],db[[#This Row],[Code]],fy_16[Amounts])</f>
        <v>49378.641999999993</v>
      </c>
      <c r="G57" s="38">
        <f>-SUMIF(fy_17[Code],db[[#This Row],[Code]],fy_17[Amounts])</f>
        <v>-496748.70000000007</v>
      </c>
      <c r="H57" s="38">
        <f>-SUMIF(fy_18[Code],db[[#This Row],[Code]],fy_18[Amounts])</f>
        <v>-2558.1950000000002</v>
      </c>
      <c r="I57" t="s">
        <v>233</v>
      </c>
    </row>
    <row r="58" spans="2:9" ht="15" x14ac:dyDescent="0.25">
      <c r="B58" s="6" t="s">
        <v>170</v>
      </c>
      <c r="C58" s="6" t="str">
        <f>_xlfn.XLOOKUP(db[[#This Row],[Code]],fy_16[Code],fy_16[P&amp;L account])</f>
        <v>Regional taxes</v>
      </c>
      <c r="D58" s="6">
        <f>_xlfn.XLOOKUP(db[[#This Row],[Code]],fy_16[Code],fy_16[Partner company])</f>
        <v>111101</v>
      </c>
      <c r="E58" s="6" t="str">
        <f>_xlfn.XLOOKUP(db[[#This Row],[Code]],fy_16[Code],fy_16[Name of partner company])</f>
        <v>Not assigned</v>
      </c>
      <c r="F58" s="38">
        <f>-SUMIF(fy_16[Code],db[[#This Row],[Code]],fy_16[Amounts])</f>
        <v>-516250.67</v>
      </c>
      <c r="G58" s="38">
        <f>-SUMIF(fy_17[Code],db[[#This Row],[Code]],fy_17[Amounts])</f>
        <v>-480872.96000000002</v>
      </c>
      <c r="H58" s="38">
        <f>-SUMIF(fy_18[Code],db[[#This Row],[Code]],fy_18[Amounts])</f>
        <v>-522710.353</v>
      </c>
      <c r="I58" t="s">
        <v>233</v>
      </c>
    </row>
    <row r="59" spans="2:9" ht="15" x14ac:dyDescent="0.25">
      <c r="B59" s="6" t="s">
        <v>171</v>
      </c>
      <c r="C59" s="6" t="str">
        <f>_xlfn.XLOOKUP(db[[#This Row],[Code]],fy_16[Code],fy_16[P&amp;L account])</f>
        <v>Deferred taxes</v>
      </c>
      <c r="D59" s="6">
        <f>_xlfn.XLOOKUP(db[[#This Row],[Code]],fy_16[Code],fy_16[Partner company])</f>
        <v>111101</v>
      </c>
      <c r="E59" s="6" t="str">
        <f>_xlfn.XLOOKUP(db[[#This Row],[Code]],fy_16[Code],fy_16[Name of partner company])</f>
        <v>Not assigned</v>
      </c>
      <c r="F59" s="38">
        <f>-SUMIF(fy_16[Code],db[[#This Row],[Code]],fy_16[Amounts])</f>
        <v>-21593.093999999997</v>
      </c>
      <c r="G59" s="38">
        <f>-SUMIF(fy_17[Code],db[[#This Row],[Code]],fy_17[Amounts])</f>
        <v>-6570.3050000000003</v>
      </c>
      <c r="H59" s="38">
        <f>-SUMIF(fy_18[Code],db[[#This Row],[Code]],fy_18[Amounts])</f>
        <v>160303.52199999997</v>
      </c>
      <c r="I59" t="s">
        <v>233</v>
      </c>
    </row>
    <row r="60" spans="2:9" ht="15" x14ac:dyDescent="0.25">
      <c r="B60" s="6" t="s">
        <v>172</v>
      </c>
      <c r="C60" s="6" t="str">
        <f>_xlfn.XLOOKUP(db[[#This Row],[Code]],fy_16[Code],fy_16[P&amp;L account])</f>
        <v>Net income/(loss)</v>
      </c>
      <c r="D60" s="6">
        <f>_xlfn.XLOOKUP(db[[#This Row],[Code]],fy_16[Code],fy_16[Partner company])</f>
        <v>111101</v>
      </c>
      <c r="E60" s="6" t="str">
        <f>_xlfn.XLOOKUP(db[[#This Row],[Code]],fy_16[Code],fy_16[Name of partner company])</f>
        <v>Not assigned</v>
      </c>
      <c r="F60" s="38">
        <f>-SUMIF(fy_16[Code],db[[#This Row],[Code]],fy_16[Amounts])</f>
        <v>2904117.9939999986</v>
      </c>
      <c r="G60" s="38">
        <f>-SUMIF(fy_17[Code],db[[#This Row],[Code]],fy_17[Amounts])</f>
        <v>0</v>
      </c>
      <c r="H60" s="38">
        <f>-SUMIF(fy_18[Code],db[[#This Row],[Code]],fy_18[Amounts])</f>
        <v>0</v>
      </c>
      <c r="I60" t="s">
        <v>234</v>
      </c>
    </row>
    <row r="61" spans="2:9" ht="15" x14ac:dyDescent="0.25">
      <c r="B61" s="6" t="s">
        <v>173</v>
      </c>
      <c r="C61" s="6" t="str">
        <f>_xlfn.XLOOKUP(db[[#This Row],[Code]],fy_17[Code],fy_17[P&amp;L account])</f>
        <v>Core business revenues</v>
      </c>
      <c r="D61" s="6">
        <f>_xlfn.XLOOKUP(db[[#This Row],[Code]],fy_17[Code],fy_17[Partner company])</f>
        <v>105</v>
      </c>
      <c r="E61" s="6" t="str">
        <f>_xlfn.XLOOKUP(db[[#This Row],[Code]],fy_17[Code],fy_17[Name of partner company])</f>
        <v>Generco Healthcare Ltd</v>
      </c>
      <c r="F61" s="38">
        <f>-SUMIF(fy_16[Code],db[[#This Row],[Code]],fy_16[Amounts])</f>
        <v>0</v>
      </c>
      <c r="G61" s="38">
        <f>-SUMIF(fy_17[Code],db[[#This Row],[Code]],fy_17[Amounts])</f>
        <v>355396.61499999999</v>
      </c>
      <c r="H61" s="38">
        <f>-SUMIF(fy_18[Code],db[[#This Row],[Code]],fy_18[Amounts])</f>
        <v>616462.01899999997</v>
      </c>
      <c r="I61" t="s">
        <v>224</v>
      </c>
    </row>
    <row r="62" spans="2:9" ht="15" x14ac:dyDescent="0.25">
      <c r="B62" s="6" t="s">
        <v>174</v>
      </c>
      <c r="C62" s="6" t="str">
        <f>_xlfn.XLOOKUP(db[[#This Row],[Code]],fy_17[Code],fy_17[P&amp;L account])</f>
        <v>Capitalized costs</v>
      </c>
      <c r="D62" s="6" t="str">
        <f>_xlfn.XLOOKUP(db[[#This Row],[Code]],fy_17[Code],fy_17[Partner company])</f>
        <v>1086</v>
      </c>
      <c r="E62" s="6" t="str">
        <f>_xlfn.XLOOKUP(db[[#This Row],[Code]],fy_17[Code],fy_17[Name of partner company])</f>
        <v>G&amp;Resources Ltd</v>
      </c>
      <c r="F62" s="38">
        <f>-SUMIF(fy_16[Code],db[[#This Row],[Code]],fy_16[Amounts])</f>
        <v>0</v>
      </c>
      <c r="G62" s="38">
        <f>-SUMIF(fy_17[Code],db[[#This Row],[Code]],fy_17[Amounts])</f>
        <v>420017.14999999997</v>
      </c>
      <c r="H62" s="38">
        <f>-SUMIF(fy_18[Code],db[[#This Row],[Code]],fy_18[Amounts])</f>
        <v>0</v>
      </c>
      <c r="I62" t="s">
        <v>67</v>
      </c>
    </row>
    <row r="63" spans="2:9" ht="15" x14ac:dyDescent="0.25">
      <c r="B63" s="6" t="s">
        <v>175</v>
      </c>
      <c r="C63" s="6" t="str">
        <f>_xlfn.XLOOKUP(db[[#This Row],[Code]],fy_17[Code],fy_17[P&amp;L account])</f>
        <v>Utility charges</v>
      </c>
      <c r="D63" s="6">
        <f>_xlfn.XLOOKUP(db[[#This Row],[Code]],fy_17[Code],fy_17[Partner company])</f>
        <v>111111</v>
      </c>
      <c r="E63" s="6" t="str">
        <f>_xlfn.XLOOKUP(db[[#This Row],[Code]],fy_17[Code],fy_17[Name of partner company])</f>
        <v>External</v>
      </c>
      <c r="F63" s="38">
        <f>-SUMIF(fy_16[Code],db[[#This Row],[Code]],fy_16[Amounts])</f>
        <v>0</v>
      </c>
      <c r="G63" s="38">
        <f>-SUMIF(fy_17[Code],db[[#This Row],[Code]],fy_17[Amounts])</f>
        <v>-14589.33</v>
      </c>
      <c r="H63" s="38">
        <f>-SUMIF(fy_18[Code],db[[#This Row],[Code]],fy_18[Amounts])</f>
        <v>-20504.509999999998</v>
      </c>
      <c r="I63" t="s">
        <v>226</v>
      </c>
    </row>
    <row r="64" spans="2:9" ht="15" x14ac:dyDescent="0.25">
      <c r="B64" s="6" t="s">
        <v>176</v>
      </c>
      <c r="C64" s="6" t="str">
        <f>_xlfn.XLOOKUP(db[[#This Row],[Code]],fy_17[Code],fy_17[P&amp;L account])</f>
        <v>R&amp;D expenses</v>
      </c>
      <c r="D64" s="6">
        <f>_xlfn.XLOOKUP(db[[#This Row],[Code]],fy_17[Code],fy_17[Partner company])</f>
        <v>19</v>
      </c>
      <c r="E64" s="6" t="str">
        <f>_xlfn.XLOOKUP(db[[#This Row],[Code]],fy_17[Code],fy_17[Name of partner company])</f>
        <v>Generco Cosmetics Ltd</v>
      </c>
      <c r="F64" s="38">
        <f>-SUMIF(fy_16[Code],db[[#This Row],[Code]],fy_16[Amounts])</f>
        <v>0</v>
      </c>
      <c r="G64" s="38">
        <f>-SUMIF(fy_17[Code],db[[#This Row],[Code]],fy_17[Amounts])</f>
        <v>-38521</v>
      </c>
      <c r="H64" s="38">
        <f>-SUMIF(fy_18[Code],db[[#This Row],[Code]],fy_18[Amounts])</f>
        <v>0</v>
      </c>
      <c r="I64" t="s">
        <v>226</v>
      </c>
    </row>
    <row r="65" spans="2:9" ht="15" x14ac:dyDescent="0.25">
      <c r="B65" s="6" t="s">
        <v>177</v>
      </c>
      <c r="C65" s="6" t="str">
        <f>_xlfn.XLOOKUP(db[[#This Row],[Code]],fy_17[Code],fy_17[P&amp;L account])</f>
        <v>R&amp;D expenses</v>
      </c>
      <c r="D65" s="6" t="str">
        <f>_xlfn.XLOOKUP(db[[#This Row],[Code]],fy_17[Code],fy_17[Partner company])</f>
        <v>1283</v>
      </c>
      <c r="E65" s="6" t="str">
        <f>_xlfn.XLOOKUP(db[[#This Row],[Code]],fy_17[Code],fy_17[Name of partner company])</f>
        <v>Generco Ventures Ltd</v>
      </c>
      <c r="F65" s="38">
        <f>-SUMIF(fy_16[Code],db[[#This Row],[Code]],fy_16[Amounts])</f>
        <v>0</v>
      </c>
      <c r="G65" s="38">
        <f>-SUMIF(fy_17[Code],db[[#This Row],[Code]],fy_17[Amounts])</f>
        <v>-1820</v>
      </c>
      <c r="H65" s="38">
        <f>-SUMIF(fy_18[Code],db[[#This Row],[Code]],fy_18[Amounts])</f>
        <v>0</v>
      </c>
      <c r="I65" t="s">
        <v>226</v>
      </c>
    </row>
    <row r="66" spans="2:9" ht="15" x14ac:dyDescent="0.25">
      <c r="B66" s="6" t="s">
        <v>178</v>
      </c>
      <c r="C66" s="6" t="str">
        <f>_xlfn.XLOOKUP(db[[#This Row],[Code]],fy_17[Code],fy_17[P&amp;L account])</f>
        <v>R&amp;D expenses</v>
      </c>
      <c r="D66" s="6" t="str">
        <f>_xlfn.XLOOKUP(db[[#This Row],[Code]],fy_17[Code],fy_17[Partner company])</f>
        <v>1924</v>
      </c>
      <c r="E66" s="6" t="str">
        <f>_xlfn.XLOOKUP(db[[#This Row],[Code]],fy_17[Code],fy_17[Name of partner company])</f>
        <v>Generco Infrastructure Ltd</v>
      </c>
      <c r="F66" s="38">
        <f>-SUMIF(fy_16[Code],db[[#This Row],[Code]],fy_16[Amounts])</f>
        <v>0</v>
      </c>
      <c r="G66" s="38">
        <f>-SUMIF(fy_17[Code],db[[#This Row],[Code]],fy_17[Amounts])</f>
        <v>-10448.129999999999</v>
      </c>
      <c r="H66" s="38">
        <f>-SUMIF(fy_18[Code],db[[#This Row],[Code]],fy_18[Amounts])</f>
        <v>-673.34299999999985</v>
      </c>
      <c r="I66" t="s">
        <v>226</v>
      </c>
    </row>
    <row r="67" spans="2:9" ht="15" x14ac:dyDescent="0.25">
      <c r="B67" s="6" t="s">
        <v>179</v>
      </c>
      <c r="C67" s="6" t="str">
        <f>_xlfn.XLOOKUP(db[[#This Row],[Code]],fy_17[Code],fy_17[P&amp;L account])</f>
        <v>R&amp;D expenses</v>
      </c>
      <c r="D67" s="6" t="str">
        <f>_xlfn.XLOOKUP(db[[#This Row],[Code]],fy_17[Code],fy_17[Partner company])</f>
        <v>2486</v>
      </c>
      <c r="E67" s="6" t="str">
        <f>_xlfn.XLOOKUP(db[[#This Row],[Code]],fy_17[Code],fy_17[Name of partner company])</f>
        <v>Generco Exloration Ltd</v>
      </c>
      <c r="F67" s="38">
        <f>-SUMIF(fy_16[Code],db[[#This Row],[Code]],fy_16[Amounts])</f>
        <v>0</v>
      </c>
      <c r="G67" s="38">
        <f>-SUMIF(fy_17[Code],db[[#This Row],[Code]],fy_17[Amounts])</f>
        <v>-10412.5</v>
      </c>
      <c r="H67" s="38">
        <f>-SUMIF(fy_18[Code],db[[#This Row],[Code]],fy_18[Amounts])</f>
        <v>0</v>
      </c>
      <c r="I67" t="s">
        <v>226</v>
      </c>
    </row>
    <row r="68" spans="2:9" ht="15" x14ac:dyDescent="0.25">
      <c r="B68" s="6" t="s">
        <v>180</v>
      </c>
      <c r="C68" s="6" t="str">
        <f>_xlfn.XLOOKUP(db[[#This Row],[Code]],fy_17[Code],fy_17[P&amp;L account])</f>
        <v>Other personnel expenses</v>
      </c>
      <c r="D68" s="6">
        <f>_xlfn.XLOOKUP(db[[#This Row],[Code]],fy_17[Code],fy_17[Partner company])</f>
        <v>111101</v>
      </c>
      <c r="E68" s="6" t="str">
        <f>_xlfn.XLOOKUP(db[[#This Row],[Code]],fy_17[Code],fy_17[Name of partner company])</f>
        <v>Not assigned</v>
      </c>
      <c r="F68" s="38">
        <f>-SUMIF(fy_16[Code],db[[#This Row],[Code]],fy_16[Amounts])</f>
        <v>0</v>
      </c>
      <c r="G68" s="38">
        <f>-SUMIF(fy_17[Code],db[[#This Row],[Code]],fy_17[Amounts])</f>
        <v>-6919.8499999999995</v>
      </c>
      <c r="H68" s="38">
        <f>-SUMIF(fy_18[Code],db[[#This Row],[Code]],fy_18[Amounts])</f>
        <v>0</v>
      </c>
      <c r="I68" t="s">
        <v>227</v>
      </c>
    </row>
    <row r="69" spans="2:9" ht="15" x14ac:dyDescent="0.25">
      <c r="B69" s="6" t="s">
        <v>181</v>
      </c>
      <c r="C69" s="6" t="str">
        <f>_xlfn.XLOOKUP(db[[#This Row],[Code]],fy_17[Code],fy_17[P&amp;L account])</f>
        <v>D&amp;A</v>
      </c>
      <c r="D69" s="6">
        <f>_xlfn.XLOOKUP(db[[#This Row],[Code]],fy_17[Code],fy_17[Partner company])</f>
        <v>111101</v>
      </c>
      <c r="E69" s="6" t="str">
        <f>_xlfn.XLOOKUP(db[[#This Row],[Code]],fy_17[Code],fy_17[Name of partner company])</f>
        <v>Not assigned</v>
      </c>
      <c r="F69" s="38">
        <f>-SUMIF(fy_16[Code],db[[#This Row],[Code]],fy_16[Amounts])</f>
        <v>0</v>
      </c>
      <c r="G69" s="38">
        <f>-SUMIF(fy_17[Code],db[[#This Row],[Code]],fy_17[Amounts])</f>
        <v>-146328.94499999998</v>
      </c>
      <c r="H69" s="38">
        <f>-SUMIF(fy_18[Code],db[[#This Row],[Code]],fy_18[Amounts])</f>
        <v>-12593.355</v>
      </c>
      <c r="I69" t="s">
        <v>72</v>
      </c>
    </row>
    <row r="70" spans="2:9" ht="15" x14ac:dyDescent="0.25">
      <c r="B70" s="6" t="s">
        <v>182</v>
      </c>
      <c r="C70" s="6" t="str">
        <f>_xlfn.XLOOKUP(db[[#This Row],[Code]],fy_17[Code],fy_17[P&amp;L account])</f>
        <v>Gains from disposal of PP&amp;E</v>
      </c>
      <c r="D70" s="6">
        <f>_xlfn.XLOOKUP(db[[#This Row],[Code]],fy_17[Code],fy_17[Partner company])</f>
        <v>111111</v>
      </c>
      <c r="E70" s="6" t="str">
        <f>_xlfn.XLOOKUP(db[[#This Row],[Code]],fy_17[Code],fy_17[Name of partner company])</f>
        <v>External</v>
      </c>
      <c r="F70" s="38">
        <f>-SUMIF(fy_16[Code],db[[#This Row],[Code]],fy_16[Amounts])</f>
        <v>0</v>
      </c>
      <c r="G70" s="38">
        <f>-SUMIF(fy_17[Code],db[[#This Row],[Code]],fy_17[Amounts])</f>
        <v>121553.07499999998</v>
      </c>
      <c r="H70" s="38">
        <f>-SUMIF(fy_18[Code],db[[#This Row],[Code]],fy_18[Amounts])</f>
        <v>0</v>
      </c>
      <c r="I70" t="s">
        <v>232</v>
      </c>
    </row>
    <row r="71" spans="2:9" ht="15" x14ac:dyDescent="0.25">
      <c r="B71" s="6" t="s">
        <v>183</v>
      </c>
      <c r="C71" s="6" t="str">
        <f>_xlfn.XLOOKUP(db[[#This Row],[Code]],fy_17[Code],fy_17[P&amp;L account])</f>
        <v>Corporate recharges</v>
      </c>
      <c r="D71" s="6">
        <f>_xlfn.XLOOKUP(db[[#This Row],[Code]],fy_17[Code],fy_17[Partner company])</f>
        <v>19</v>
      </c>
      <c r="E71" s="6" t="str">
        <f>_xlfn.XLOOKUP(db[[#This Row],[Code]],fy_17[Code],fy_17[Name of partner company])</f>
        <v>Generco Cosmetics Ltd</v>
      </c>
      <c r="F71" s="38">
        <f>-SUMIF(fy_16[Code],db[[#This Row],[Code]],fy_16[Amounts])</f>
        <v>0</v>
      </c>
      <c r="G71" s="38">
        <f>-SUMIF(fy_17[Code],db[[#This Row],[Code]],fy_17[Amounts])</f>
        <v>416278.66</v>
      </c>
      <c r="H71" s="38">
        <f>-SUMIF(fy_18[Code],db[[#This Row],[Code]],fy_18[Amounts])</f>
        <v>622966.38600000006</v>
      </c>
      <c r="I71" t="s">
        <v>225</v>
      </c>
    </row>
    <row r="72" spans="2:9" ht="15" x14ac:dyDescent="0.25">
      <c r="B72" s="6" t="s">
        <v>184</v>
      </c>
      <c r="C72" s="6" t="str">
        <f>_xlfn.XLOOKUP(db[[#This Row],[Code]],fy_17[Code],fy_17[P&amp;L account])</f>
        <v>Corporate recharges</v>
      </c>
      <c r="D72" s="6" t="str">
        <f>_xlfn.XLOOKUP(db[[#This Row],[Code]],fy_17[Code],fy_17[Partner company])</f>
        <v>1076</v>
      </c>
      <c r="E72" s="6" t="str">
        <f>_xlfn.XLOOKUP(db[[#This Row],[Code]],fy_17[Code],fy_17[Name of partner company])</f>
        <v>Generco Trading Ltd</v>
      </c>
      <c r="F72" s="38">
        <f>-SUMIF(fy_16[Code],db[[#This Row],[Code]],fy_16[Amounts])</f>
        <v>0</v>
      </c>
      <c r="G72" s="38">
        <f>-SUMIF(fy_17[Code],db[[#This Row],[Code]],fy_17[Amounts])</f>
        <v>364243.84499999997</v>
      </c>
      <c r="H72" s="38">
        <f>-SUMIF(fy_18[Code],db[[#This Row],[Code]],fy_18[Amounts])</f>
        <v>0</v>
      </c>
      <c r="I72" t="s">
        <v>225</v>
      </c>
    </row>
    <row r="73" spans="2:9" ht="15" x14ac:dyDescent="0.25">
      <c r="B73" s="6" t="s">
        <v>185</v>
      </c>
      <c r="C73" s="6" t="str">
        <f>_xlfn.XLOOKUP(db[[#This Row],[Code]],fy_17[Code],fy_17[P&amp;L account])</f>
        <v>Corporate recharges</v>
      </c>
      <c r="D73" s="6" t="str">
        <f>_xlfn.XLOOKUP(db[[#This Row],[Code]],fy_17[Code],fy_17[Partner company])</f>
        <v>1086</v>
      </c>
      <c r="E73" s="6" t="str">
        <f>_xlfn.XLOOKUP(db[[#This Row],[Code]],fy_17[Code],fy_17[Name of partner company])</f>
        <v>G&amp;Resources Ltd</v>
      </c>
      <c r="F73" s="38">
        <f>-SUMIF(fy_16[Code],db[[#This Row],[Code]],fy_16[Amounts])</f>
        <v>0</v>
      </c>
      <c r="G73" s="38">
        <f>-SUMIF(fy_17[Code],db[[#This Row],[Code]],fy_17[Amounts])</f>
        <v>0</v>
      </c>
      <c r="H73" s="38">
        <f>-SUMIF(fy_18[Code],db[[#This Row],[Code]],fy_18[Amounts])</f>
        <v>0</v>
      </c>
      <c r="I73" t="s">
        <v>225</v>
      </c>
    </row>
    <row r="74" spans="2:9" ht="15" x14ac:dyDescent="0.25">
      <c r="B74" s="6" t="s">
        <v>186</v>
      </c>
      <c r="C74" s="6" t="str">
        <f>_xlfn.XLOOKUP(db[[#This Row],[Code]],fy_17[Code],fy_17[P&amp;L account])</f>
        <v>Corporate recharges</v>
      </c>
      <c r="D74" s="6" t="str">
        <f>_xlfn.XLOOKUP(db[[#This Row],[Code]],fy_17[Code],fy_17[Partner company])</f>
        <v>47037</v>
      </c>
      <c r="E74" s="6" t="str">
        <f>_xlfn.XLOOKUP(db[[#This Row],[Code]],fy_17[Code],fy_17[Name of partner company])</f>
        <v>G&amp;CR Global Ltd</v>
      </c>
      <c r="F74" s="38">
        <f>-SUMIF(fy_16[Code],db[[#This Row],[Code]],fy_16[Amounts])</f>
        <v>0</v>
      </c>
      <c r="G74" s="38">
        <f>-SUMIF(fy_17[Code],db[[#This Row],[Code]],fy_17[Amounts])</f>
        <v>482611.04499999998</v>
      </c>
      <c r="H74" s="38">
        <f>-SUMIF(fy_18[Code],db[[#This Row],[Code]],fy_18[Amounts])</f>
        <v>1948832.1429999999</v>
      </c>
      <c r="I74" t="s">
        <v>225</v>
      </c>
    </row>
    <row r="75" spans="2:9" ht="15" x14ac:dyDescent="0.25">
      <c r="B75" s="6" t="s">
        <v>187</v>
      </c>
      <c r="C75" s="6" t="str">
        <f>_xlfn.XLOOKUP(db[[#This Row],[Code]],fy_17[Code],fy_17[P&amp;L account])</f>
        <v>Other income</v>
      </c>
      <c r="D75" s="6">
        <f>_xlfn.XLOOKUP(db[[#This Row],[Code]],fy_17[Code],fy_17[Partner company])</f>
        <v>88</v>
      </c>
      <c r="E75" s="6" t="str">
        <f>_xlfn.XLOOKUP(db[[#This Row],[Code]],fy_17[Code],fy_17[Name of partner company])</f>
        <v>Generco Ltd</v>
      </c>
      <c r="F75" s="38">
        <f>-SUMIF(fy_16[Code],db[[#This Row],[Code]],fy_16[Amounts])</f>
        <v>0</v>
      </c>
      <c r="G75" s="38">
        <f>-SUMIF(fy_17[Code],db[[#This Row],[Code]],fy_17[Amounts])</f>
        <v>2436.35</v>
      </c>
      <c r="H75" s="38">
        <f>-SUMIF(fy_18[Code],db[[#This Row],[Code]],fy_18[Amounts])</f>
        <v>0</v>
      </c>
      <c r="I75" t="s">
        <v>74</v>
      </c>
    </row>
    <row r="76" spans="2:9" ht="15" x14ac:dyDescent="0.25">
      <c r="B76" s="6" t="s">
        <v>188</v>
      </c>
      <c r="C76" s="6" t="str">
        <f>_xlfn.XLOOKUP(db[[#This Row],[Code]],fy_17[Code],fy_17[P&amp;L account])</f>
        <v>Concession fees other</v>
      </c>
      <c r="D76" s="6">
        <f>_xlfn.XLOOKUP(db[[#This Row],[Code]],fy_17[Code],fy_17[Partner company])</f>
        <v>111101</v>
      </c>
      <c r="E76" s="6" t="str">
        <f>_xlfn.XLOOKUP(db[[#This Row],[Code]],fy_17[Code],fy_17[Name of partner company])</f>
        <v>Not assigned</v>
      </c>
      <c r="F76" s="38">
        <f>-SUMIF(fy_16[Code],db[[#This Row],[Code]],fy_16[Amounts])</f>
        <v>0</v>
      </c>
      <c r="G76" s="38">
        <f>-SUMIF(fy_17[Code],db[[#This Row],[Code]],fy_17[Amounts])</f>
        <v>-81.339999999999989</v>
      </c>
      <c r="H76" s="38">
        <f>-SUMIF(fy_18[Code],db[[#This Row],[Code]],fy_18[Amounts])</f>
        <v>0</v>
      </c>
      <c r="I76" t="s">
        <v>226</v>
      </c>
    </row>
    <row r="77" spans="2:9" ht="15" x14ac:dyDescent="0.25">
      <c r="B77" s="6" t="s">
        <v>189</v>
      </c>
      <c r="C77" s="6" t="str">
        <f>_xlfn.XLOOKUP(db[[#This Row],[Code]],fy_17[Code],fy_17[P&amp;L account])</f>
        <v>Service expenses</v>
      </c>
      <c r="D77" s="6">
        <f>_xlfn.XLOOKUP(db[[#This Row],[Code]],fy_17[Code],fy_17[Partner company])</f>
        <v>105</v>
      </c>
      <c r="E77" s="6" t="str">
        <f>_xlfn.XLOOKUP(db[[#This Row],[Code]],fy_17[Code],fy_17[Name of partner company])</f>
        <v>Generco Healthcare Ltd</v>
      </c>
      <c r="F77" s="38">
        <f>-SUMIF(fy_16[Code],db[[#This Row],[Code]],fy_16[Amounts])</f>
        <v>0</v>
      </c>
      <c r="G77" s="38">
        <f>-SUMIF(fy_17[Code],db[[#This Row],[Code]],fy_17[Amounts])</f>
        <v>-276920</v>
      </c>
      <c r="H77" s="38">
        <f>-SUMIF(fy_18[Code],db[[#This Row],[Code]],fy_18[Amounts])</f>
        <v>-473575.46100000001</v>
      </c>
      <c r="I77" t="s">
        <v>229</v>
      </c>
    </row>
    <row r="78" spans="2:9" ht="15" x14ac:dyDescent="0.25">
      <c r="B78" s="6" t="s">
        <v>190</v>
      </c>
      <c r="C78" s="6" t="str">
        <f>_xlfn.XLOOKUP(db[[#This Row],[Code]],fy_17[Code],fy_17[P&amp;L account])</f>
        <v>Insurance expenses</v>
      </c>
      <c r="D78" s="6">
        <f>_xlfn.XLOOKUP(db[[#This Row],[Code]],fy_17[Code],fy_17[Partner company])</f>
        <v>1900</v>
      </c>
      <c r="E78" s="6" t="str">
        <f>_xlfn.XLOOKUP(db[[#This Row],[Code]],fy_17[Code],fy_17[Name of partner company])</f>
        <v>Generco Metals Gm</v>
      </c>
      <c r="F78" s="38">
        <f>-SUMIF(fy_16[Code],db[[#This Row],[Code]],fy_16[Amounts])</f>
        <v>0</v>
      </c>
      <c r="G78" s="38">
        <f>-SUMIF(fy_17[Code],db[[#This Row],[Code]],fy_17[Amounts])</f>
        <v>0</v>
      </c>
      <c r="H78" s="38">
        <f>-SUMIF(fy_18[Code],db[[#This Row],[Code]],fy_18[Amounts])</f>
        <v>0</v>
      </c>
      <c r="I78"/>
    </row>
    <row r="79" spans="2:9" ht="15" x14ac:dyDescent="0.25">
      <c r="B79" s="6" t="s">
        <v>191</v>
      </c>
      <c r="C79" s="6" t="str">
        <f>_xlfn.XLOOKUP(db[[#This Row],[Code]],fy_17[Code],fy_17[P&amp;L account])</f>
        <v>Travel expenses</v>
      </c>
      <c r="D79" s="6" t="str">
        <f>_xlfn.XLOOKUP(db[[#This Row],[Code]],fy_17[Code],fy_17[Partner company])</f>
        <v>1118</v>
      </c>
      <c r="E79" s="6" t="str">
        <f>_xlfn.XLOOKUP(db[[#This Row],[Code]],fy_17[Code],fy_17[Name of partner company])</f>
        <v>Gener Green LLC</v>
      </c>
      <c r="F79" s="38">
        <f>-SUMIF(fy_16[Code],db[[#This Row],[Code]],fy_16[Amounts])</f>
        <v>0</v>
      </c>
      <c r="G79" s="38">
        <f>-SUMIF(fy_17[Code],db[[#This Row],[Code]],fy_17[Amounts])</f>
        <v>-23928.799999999999</v>
      </c>
      <c r="H79" s="38">
        <f>-SUMIF(fy_18[Code],db[[#This Row],[Code]],fy_18[Amounts])</f>
        <v>0</v>
      </c>
      <c r="I79" t="s">
        <v>226</v>
      </c>
    </row>
    <row r="80" spans="2:9" ht="15" x14ac:dyDescent="0.25">
      <c r="B80" s="6" t="s">
        <v>192</v>
      </c>
      <c r="C80" s="6" t="str">
        <f>_xlfn.XLOOKUP(db[[#This Row],[Code]],fy_17[Code],fy_17[P&amp;L account])</f>
        <v>Losses fr disposal of PPE</v>
      </c>
      <c r="D80" s="6">
        <f>_xlfn.XLOOKUP(db[[#This Row],[Code]],fy_17[Code],fy_17[Partner company])</f>
        <v>111111</v>
      </c>
      <c r="E80" s="6" t="str">
        <f>_xlfn.XLOOKUP(db[[#This Row],[Code]],fy_17[Code],fy_17[Name of partner company])</f>
        <v>External</v>
      </c>
      <c r="F80" s="38">
        <f>-SUMIF(fy_16[Code],db[[#This Row],[Code]],fy_16[Amounts])</f>
        <v>0</v>
      </c>
      <c r="G80" s="38">
        <f>-SUMIF(fy_17[Code],db[[#This Row],[Code]],fy_17[Amounts])</f>
        <v>-308232</v>
      </c>
      <c r="H80" s="38">
        <f>-SUMIF(fy_18[Code],db[[#This Row],[Code]],fy_18[Amounts])</f>
        <v>0</v>
      </c>
      <c r="I80" t="s">
        <v>232</v>
      </c>
    </row>
    <row r="81" spans="2:9" ht="15" x14ac:dyDescent="0.25">
      <c r="B81" s="6" t="s">
        <v>193</v>
      </c>
      <c r="C81" s="6" t="str">
        <f>_xlfn.XLOOKUP(db[[#This Row],[Code]],fy_17[Code],fy_17[P&amp;L account])</f>
        <v>Other operative currency differences</v>
      </c>
      <c r="D81" s="6">
        <f>_xlfn.XLOOKUP(db[[#This Row],[Code]],fy_17[Code],fy_17[Partner company])</f>
        <v>19</v>
      </c>
      <c r="E81" s="6" t="str">
        <f>_xlfn.XLOOKUP(db[[#This Row],[Code]],fy_17[Code],fy_17[Name of partner company])</f>
        <v>Generco Cosmetics Ltd</v>
      </c>
      <c r="F81" s="38">
        <f>-SUMIF(fy_16[Code],db[[#This Row],[Code]],fy_16[Amounts])</f>
        <v>0</v>
      </c>
      <c r="G81" s="38">
        <f>-SUMIF(fy_17[Code],db[[#This Row],[Code]],fy_17[Amounts])</f>
        <v>-13422.779999999999</v>
      </c>
      <c r="H81" s="38">
        <f>-SUMIF(fy_18[Code],db[[#This Row],[Code]],fy_18[Amounts])</f>
        <v>0</v>
      </c>
      <c r="I81" t="s">
        <v>226</v>
      </c>
    </row>
    <row r="82" spans="2:9" ht="15" x14ac:dyDescent="0.25">
      <c r="B82" s="6" t="s">
        <v>194</v>
      </c>
      <c r="C82" s="6" t="str">
        <f>_xlfn.XLOOKUP(db[[#This Row],[Code]],fy_17[Code],fy_17[P&amp;L account])</f>
        <v>Other operative currency differences</v>
      </c>
      <c r="D82" s="6">
        <f>_xlfn.XLOOKUP(db[[#This Row],[Code]],fy_17[Code],fy_17[Partner company])</f>
        <v>111111</v>
      </c>
      <c r="E82" s="6" t="str">
        <f>_xlfn.XLOOKUP(db[[#This Row],[Code]],fy_17[Code],fy_17[Name of partner company])</f>
        <v>External</v>
      </c>
      <c r="F82" s="38">
        <f>-SUMIF(fy_16[Code],db[[#This Row],[Code]],fy_16[Amounts])</f>
        <v>0</v>
      </c>
      <c r="G82" s="38">
        <f>-SUMIF(fy_17[Code],db[[#This Row],[Code]],fy_17[Amounts])</f>
        <v>-4045.6150000000002</v>
      </c>
      <c r="H82" s="38">
        <f>-SUMIF(fy_18[Code],db[[#This Row],[Code]],fy_18[Amounts])</f>
        <v>0</v>
      </c>
      <c r="I82" t="s">
        <v>226</v>
      </c>
    </row>
    <row r="83" spans="2:9" ht="15" x14ac:dyDescent="0.25">
      <c r="B83" s="6" t="s">
        <v>195</v>
      </c>
      <c r="C83" s="6" t="str">
        <f>_xlfn.XLOOKUP(db[[#This Row],[Code]],fy_17[Code],fy_17[P&amp;L account])</f>
        <v>Property tax</v>
      </c>
      <c r="D83" s="6">
        <f>_xlfn.XLOOKUP(db[[#This Row],[Code]],fy_17[Code],fy_17[Partner company])</f>
        <v>111111</v>
      </c>
      <c r="E83" s="6" t="str">
        <f>_xlfn.XLOOKUP(db[[#This Row],[Code]],fy_17[Code],fy_17[Name of partner company])</f>
        <v>External</v>
      </c>
      <c r="F83" s="38">
        <f>-SUMIF(fy_16[Code],db[[#This Row],[Code]],fy_16[Amounts])</f>
        <v>0</v>
      </c>
      <c r="G83" s="38">
        <f>-SUMIF(fy_17[Code],db[[#This Row],[Code]],fy_17[Amounts])</f>
        <v>-49621.144999999997</v>
      </c>
      <c r="H83" s="38">
        <f>-SUMIF(fy_18[Code],db[[#This Row],[Code]],fy_18[Amounts])</f>
        <v>0</v>
      </c>
      <c r="I83" t="s">
        <v>226</v>
      </c>
    </row>
    <row r="84" spans="2:9" ht="15" x14ac:dyDescent="0.25">
      <c r="B84" s="6" t="s">
        <v>196</v>
      </c>
      <c r="C84" s="6" t="str">
        <f>_xlfn.XLOOKUP(db[[#This Row],[Code]],fy_17[Code],fy_17[P&amp;L account])</f>
        <v>Misc extraordinary expenses</v>
      </c>
      <c r="D84" s="6">
        <f>_xlfn.XLOOKUP(db[[#This Row],[Code]],fy_17[Code],fy_17[Partner company])</f>
        <v>19</v>
      </c>
      <c r="E84" s="6" t="str">
        <f>_xlfn.XLOOKUP(db[[#This Row],[Code]],fy_17[Code],fy_17[Name of partner company])</f>
        <v>Generco Cosmetics Ltd</v>
      </c>
      <c r="F84" s="38">
        <f>-SUMIF(fy_16[Code],db[[#This Row],[Code]],fy_16[Amounts])</f>
        <v>0</v>
      </c>
      <c r="G84" s="38">
        <f>-SUMIF(fy_17[Code],db[[#This Row],[Code]],fy_17[Amounts])</f>
        <v>-85462.684999999998</v>
      </c>
      <c r="H84" s="38">
        <f>-SUMIF(fy_18[Code],db[[#This Row],[Code]],fy_18[Amounts])</f>
        <v>0</v>
      </c>
      <c r="I84" t="s">
        <v>232</v>
      </c>
    </row>
    <row r="85" spans="2:9" ht="15" x14ac:dyDescent="0.25">
      <c r="B85" s="6" t="s">
        <v>197</v>
      </c>
      <c r="C85" s="6" t="str">
        <f>_xlfn.XLOOKUP(db[[#This Row],[Code]],fy_17[Code],fy_17[P&amp;L account])</f>
        <v>Misc extraordinary expenses</v>
      </c>
      <c r="D85" s="6" t="str">
        <f>_xlfn.XLOOKUP(db[[#This Row],[Code]],fy_17[Code],fy_17[Partner company])</f>
        <v>43</v>
      </c>
      <c r="E85" s="6" t="str">
        <f>_xlfn.XLOOKUP(db[[#This Row],[Code]],fy_17[Code],fy_17[Name of partner company])</f>
        <v>Greeny France SL</v>
      </c>
      <c r="F85" s="38">
        <f>-SUMIF(fy_16[Code],db[[#This Row],[Code]],fy_16[Amounts])</f>
        <v>0</v>
      </c>
      <c r="G85" s="38">
        <f>-SUMIF(fy_17[Code],db[[#This Row],[Code]],fy_17[Amounts])</f>
        <v>-11422.144999999999</v>
      </c>
      <c r="H85" s="38">
        <f>-SUMIF(fy_18[Code],db[[#This Row],[Code]],fy_18[Amounts])</f>
        <v>0</v>
      </c>
      <c r="I85" t="s">
        <v>232</v>
      </c>
    </row>
    <row r="86" spans="2:9" ht="15" x14ac:dyDescent="0.25">
      <c r="B86" s="6" t="s">
        <v>198</v>
      </c>
      <c r="C86" s="6" t="str">
        <f>_xlfn.XLOOKUP(db[[#This Row],[Code]],fy_17[Code],fy_17[P&amp;L account])</f>
        <v>Misc extraordinary expenses</v>
      </c>
      <c r="D86" s="6" t="str">
        <f>_xlfn.XLOOKUP(db[[#This Row],[Code]],fy_17[Code],fy_17[Partner company])</f>
        <v>1924</v>
      </c>
      <c r="E86" s="6" t="str">
        <f>_xlfn.XLOOKUP(db[[#This Row],[Code]],fy_17[Code],fy_17[Name of partner company])</f>
        <v>Generco Infrastructure Ltd</v>
      </c>
      <c r="F86" s="38">
        <f>-SUMIF(fy_16[Code],db[[#This Row],[Code]],fy_16[Amounts])</f>
        <v>0</v>
      </c>
      <c r="G86" s="38">
        <f>-SUMIF(fy_17[Code],db[[#This Row],[Code]],fy_17[Amounts])</f>
        <v>-84438.864999999991</v>
      </c>
      <c r="H86" s="38">
        <f>-SUMIF(fy_18[Code],db[[#This Row],[Code]],fy_18[Amounts])</f>
        <v>0</v>
      </c>
      <c r="I86" t="s">
        <v>232</v>
      </c>
    </row>
    <row r="87" spans="2:9" ht="15" x14ac:dyDescent="0.25">
      <c r="B87" s="6" t="s">
        <v>199</v>
      </c>
      <c r="C87" s="6" t="str">
        <f>_xlfn.XLOOKUP(db[[#This Row],[Code]],fy_17[Code],fy_17[P&amp;L account])</f>
        <v>Difference from eliminations</v>
      </c>
      <c r="D87" s="6" t="str">
        <f>_xlfn.XLOOKUP(db[[#This Row],[Code]],fy_17[Code],fy_17[Partner company])</f>
        <v>1086</v>
      </c>
      <c r="E87" s="6" t="str">
        <f>_xlfn.XLOOKUP(db[[#This Row],[Code]],fy_17[Code],fy_17[Name of partner company])</f>
        <v>G&amp;Resources Ltd</v>
      </c>
      <c r="F87" s="38">
        <f>-SUMIF(fy_16[Code],db[[#This Row],[Code]],fy_16[Amounts])</f>
        <v>0</v>
      </c>
      <c r="G87" s="38">
        <f>-SUMIF(fy_17[Code],db[[#This Row],[Code]],fy_17[Amounts])</f>
        <v>0</v>
      </c>
      <c r="H87" s="38">
        <f>-SUMIF(fy_18[Code],db[[#This Row],[Code]],fy_18[Amounts])</f>
        <v>0</v>
      </c>
      <c r="I87"/>
    </row>
    <row r="88" spans="2:9" ht="15" x14ac:dyDescent="0.25">
      <c r="B88" s="6" t="s">
        <v>200</v>
      </c>
      <c r="C88" s="6" t="str">
        <f>_xlfn.XLOOKUP(db[[#This Row],[Code]],fy_17[Code],fy_17[P&amp;L account])</f>
        <v>Interest income</v>
      </c>
      <c r="D88" s="6" t="str">
        <f>_xlfn.XLOOKUP(db[[#This Row],[Code]],fy_17[Code],fy_17[Partner company])</f>
        <v>1086</v>
      </c>
      <c r="E88" s="6" t="str">
        <f>_xlfn.XLOOKUP(db[[#This Row],[Code]],fy_17[Code],fy_17[Name of partner company])</f>
        <v>G&amp;Resources Ltd</v>
      </c>
      <c r="F88" s="38">
        <f>-SUMIF(fy_16[Code],db[[#This Row],[Code]],fy_16[Amounts])</f>
        <v>0</v>
      </c>
      <c r="G88" s="38">
        <f>-SUMIF(fy_17[Code],db[[#This Row],[Code]],fy_17[Amounts])</f>
        <v>0</v>
      </c>
      <c r="H88" s="38">
        <f>-SUMIF(fy_18[Code],db[[#This Row],[Code]],fy_18[Amounts])</f>
        <v>0</v>
      </c>
      <c r="I88" t="s">
        <v>231</v>
      </c>
    </row>
    <row r="89" spans="2:9" ht="15" x14ac:dyDescent="0.25">
      <c r="B89" s="6" t="s">
        <v>201</v>
      </c>
      <c r="C89" s="6" t="str">
        <f>_xlfn.XLOOKUP(db[[#This Row],[Code]],fy_17[Code],fy_17[P&amp;L account])</f>
        <v>Interest income</v>
      </c>
      <c r="D89" s="6">
        <f>_xlfn.XLOOKUP(db[[#This Row],[Code]],fy_17[Code],fy_17[Partner company])</f>
        <v>1006</v>
      </c>
      <c r="E89" s="6" t="str">
        <f>_xlfn.XLOOKUP(db[[#This Row],[Code]],fy_17[Code],fy_17[Name of partner company])</f>
        <v>Generco Mining GmbH</v>
      </c>
      <c r="F89" s="38">
        <f>-SUMIF(fy_16[Code],db[[#This Row],[Code]],fy_16[Amounts])</f>
        <v>0</v>
      </c>
      <c r="G89" s="38">
        <f>-SUMIF(fy_17[Code],db[[#This Row],[Code]],fy_17[Amounts])</f>
        <v>6778.415</v>
      </c>
      <c r="H89" s="38">
        <f>-SUMIF(fy_18[Code],db[[#This Row],[Code]],fy_18[Amounts])</f>
        <v>0</v>
      </c>
      <c r="I89" t="s">
        <v>231</v>
      </c>
    </row>
    <row r="90" spans="2:9" ht="15" x14ac:dyDescent="0.25">
      <c r="B90" s="6" t="s">
        <v>202</v>
      </c>
      <c r="C90" s="6" t="str">
        <f>_xlfn.XLOOKUP(db[[#This Row],[Code]],fy_17[Code],fy_17[P&amp;L account])</f>
        <v>Interest expenses</v>
      </c>
      <c r="D90" s="6">
        <f>_xlfn.XLOOKUP(db[[#This Row],[Code]],fy_17[Code],fy_17[Partner company])</f>
        <v>1007</v>
      </c>
      <c r="E90" s="6" t="str">
        <f>_xlfn.XLOOKUP(db[[#This Row],[Code]],fy_17[Code],fy_17[Name of partner company])</f>
        <v>Generco Semiconductors Ltd</v>
      </c>
      <c r="F90" s="38">
        <f>-SUMIF(fy_16[Code],db[[#This Row],[Code]],fy_16[Amounts])</f>
        <v>0</v>
      </c>
      <c r="G90" s="38">
        <f>-SUMIF(fy_17[Code],db[[#This Row],[Code]],fy_17[Amounts])</f>
        <v>0</v>
      </c>
      <c r="H90" s="38">
        <f>-SUMIF(fy_18[Code],db[[#This Row],[Code]],fy_18[Amounts])</f>
        <v>0</v>
      </c>
      <c r="I90" t="s">
        <v>231</v>
      </c>
    </row>
    <row r="91" spans="2:9" ht="15" x14ac:dyDescent="0.25">
      <c r="B91" s="6" t="s">
        <v>203</v>
      </c>
      <c r="C91" s="6" t="str">
        <f>_xlfn.XLOOKUP(db[[#This Row],[Code]],fy_17[Code],fy_17[P&amp;L account])</f>
        <v>Interest expenses</v>
      </c>
      <c r="D91" s="6">
        <f>_xlfn.XLOOKUP(db[[#This Row],[Code]],fy_17[Code],fy_17[Partner company])</f>
        <v>111111</v>
      </c>
      <c r="E91" s="6" t="str">
        <f>_xlfn.XLOOKUP(db[[#This Row],[Code]],fy_17[Code],fy_17[Name of partner company])</f>
        <v>External</v>
      </c>
      <c r="F91" s="38">
        <f>-SUMIF(fy_16[Code],db[[#This Row],[Code]],fy_16[Amounts])</f>
        <v>0</v>
      </c>
      <c r="G91" s="38">
        <f>-SUMIF(fy_17[Code],db[[#This Row],[Code]],fy_17[Amounts])</f>
        <v>-1250.7950000000001</v>
      </c>
      <c r="H91" s="38">
        <f>-SUMIF(fy_18[Code],db[[#This Row],[Code]],fy_18[Amounts])</f>
        <v>-51.454999999999998</v>
      </c>
      <c r="I91" t="s">
        <v>231</v>
      </c>
    </row>
    <row r="92" spans="2:9" ht="15" x14ac:dyDescent="0.25">
      <c r="B92" s="6" t="s">
        <v>204</v>
      </c>
      <c r="C92" s="6" t="str">
        <f>_xlfn.XLOOKUP(db[[#This Row],[Code]],fy_17[Code],fy_17[P&amp;L account])</f>
        <v>Impairment of participation</v>
      </c>
      <c r="D92" s="6">
        <f>_xlfn.XLOOKUP(db[[#This Row],[Code]],fy_17[Code],fy_17[Partner company])</f>
        <v>1240</v>
      </c>
      <c r="E92" s="6" t="str">
        <f>_xlfn.XLOOKUP(db[[#This Row],[Code]],fy_17[Code],fy_17[Name of partner company])</f>
        <v xml:space="preserve">Generco UK </v>
      </c>
      <c r="F92" s="38">
        <f>-SUMIF(fy_16[Code],db[[#This Row],[Code]],fy_16[Amounts])</f>
        <v>0</v>
      </c>
      <c r="G92" s="38">
        <f>-SUMIF(fy_17[Code],db[[#This Row],[Code]],fy_17[Amounts])</f>
        <v>-4130000</v>
      </c>
      <c r="H92" s="38">
        <f>-SUMIF(fy_18[Code],db[[#This Row],[Code]],fy_18[Amounts])</f>
        <v>0</v>
      </c>
      <c r="I92" t="s">
        <v>232</v>
      </c>
    </row>
    <row r="93" spans="2:9" ht="15" x14ac:dyDescent="0.25">
      <c r="B93" s="6" t="s">
        <v>205</v>
      </c>
      <c r="C93" s="6" t="str">
        <f>_xlfn.XLOOKUP(db[[#This Row],[Code]],fy_17[Code],fy_17[P&amp;L account])</f>
        <v>Quarterly changes in current taxes</v>
      </c>
      <c r="D93" s="6">
        <f>_xlfn.XLOOKUP(db[[#This Row],[Code]],fy_17[Code],fy_17[Partner company])</f>
        <v>111101</v>
      </c>
      <c r="E93" s="6" t="str">
        <f>_xlfn.XLOOKUP(db[[#This Row],[Code]],fy_17[Code],fy_17[Name of partner company])</f>
        <v>Not assigned</v>
      </c>
      <c r="F93" s="38">
        <f>-SUMIF(fy_16[Code],db[[#This Row],[Code]],fy_16[Amounts])</f>
        <v>0</v>
      </c>
      <c r="G93" s="38">
        <f>-SUMIF(fy_17[Code],db[[#This Row],[Code]],fy_17[Amounts])</f>
        <v>0</v>
      </c>
      <c r="H93" s="38">
        <f>-SUMIF(fy_18[Code],db[[#This Row],[Code]],fy_18[Amounts])</f>
        <v>0</v>
      </c>
      <c r="I93"/>
    </row>
    <row r="94" spans="2:9" ht="15" x14ac:dyDescent="0.25">
      <c r="B94" s="6" t="s">
        <v>206</v>
      </c>
      <c r="C94" s="6" t="str">
        <f>_xlfn.XLOOKUP(db[[#This Row],[Code]],fy_17[Code],fy_17[P&amp;L account])</f>
        <v>Net income/(loss)</v>
      </c>
      <c r="D94" s="6">
        <f>_xlfn.XLOOKUP(db[[#This Row],[Code]],fy_17[Code],fy_17[Partner company])</f>
        <v>111101</v>
      </c>
      <c r="E94" s="6" t="str">
        <f>_xlfn.XLOOKUP(db[[#This Row],[Code]],fy_17[Code],fy_17[Name of partner company])</f>
        <v>Not assigned</v>
      </c>
      <c r="F94" s="38">
        <f>-SUMIF(fy_16[Code],db[[#This Row],[Code]],fy_16[Amounts])</f>
        <v>0</v>
      </c>
      <c r="G94" s="38">
        <f>-SUMIF(fy_17[Code],db[[#This Row],[Code]],fy_17[Amounts])</f>
        <v>-6073808.1600000001</v>
      </c>
      <c r="H94" s="38">
        <f>-SUMIF(fy_18[Code],db[[#This Row],[Code]],fy_18[Amounts])</f>
        <v>779290.47600000002</v>
      </c>
      <c r="I94" t="s">
        <v>234</v>
      </c>
    </row>
    <row r="95" spans="2:9" ht="15" x14ac:dyDescent="0.25">
      <c r="B95" s="6" t="s">
        <v>207</v>
      </c>
      <c r="C95" s="6" t="str">
        <f>_xlfn.XLOOKUP(db[[#This Row],[Code]],fy_18[Code],fy_18[P&amp;L account])</f>
        <v>Operating expenses for utilities</v>
      </c>
      <c r="D95" s="6">
        <f>_xlfn.XLOOKUP(db[[#This Row],[Code]],fy_18[Code],fy_18[Partner company])</f>
        <v>111111</v>
      </c>
      <c r="E95" s="6" t="str">
        <f>_xlfn.XLOOKUP(db[[#This Row],[Code]],fy_18[Code],fy_18[Name of partner company])</f>
        <v>External</v>
      </c>
      <c r="F95" s="38">
        <f>-SUMIF(fy_16[Code],db[[#This Row],[Code]],fy_16[Amounts])</f>
        <v>0</v>
      </c>
      <c r="G95" s="38">
        <f>-SUMIF(fy_17[Code],db[[#This Row],[Code]],fy_17[Amounts])</f>
        <v>0</v>
      </c>
      <c r="H95" s="38">
        <f>-SUMIF(fy_18[Code],db[[#This Row],[Code]],fy_18[Amounts])</f>
        <v>-13691.949999999999</v>
      </c>
      <c r="I95" t="s">
        <v>226</v>
      </c>
    </row>
    <row r="96" spans="2:9" ht="15" x14ac:dyDescent="0.25">
      <c r="B96" s="6" t="s">
        <v>208</v>
      </c>
      <c r="C96" s="6" t="str">
        <f>_xlfn.XLOOKUP(db[[#This Row],[Code]],fy_18[Code],fy_18[P&amp;L account])</f>
        <v>R&amp;D expenses</v>
      </c>
      <c r="D96" s="6" t="str">
        <f>_xlfn.XLOOKUP(db[[#This Row],[Code]],fy_18[Code],fy_18[Partner company])</f>
        <v>2185</v>
      </c>
      <c r="E96" s="6" t="str">
        <f>_xlfn.XLOOKUP(db[[#This Row],[Code]],fy_18[Code],fy_18[Name of partner company])</f>
        <v>Generco Green Projects GmbH</v>
      </c>
      <c r="F96" s="38">
        <f>-SUMIF(fy_16[Code],db[[#This Row],[Code]],fy_16[Amounts])</f>
        <v>0</v>
      </c>
      <c r="G96" s="38">
        <f>-SUMIF(fy_17[Code],db[[#This Row],[Code]],fy_17[Amounts])</f>
        <v>0</v>
      </c>
      <c r="H96" s="38">
        <f>-SUMIF(fy_18[Code],db[[#This Row],[Code]],fy_18[Amounts])</f>
        <v>-192017.14499999996</v>
      </c>
      <c r="I96" t="s">
        <v>226</v>
      </c>
    </row>
    <row r="97" spans="2:9" ht="15" x14ac:dyDescent="0.25">
      <c r="B97" s="6" t="s">
        <v>209</v>
      </c>
      <c r="C97" s="6" t="str">
        <f>_xlfn.XLOOKUP(db[[#This Row],[Code]],fy_18[Code],fy_18[P&amp;L account])</f>
        <v>R&amp;D expenses</v>
      </c>
      <c r="D97" s="6" t="str">
        <f>_xlfn.XLOOKUP(db[[#This Row],[Code]],fy_18[Code],fy_18[Partner company])</f>
        <v>2240</v>
      </c>
      <c r="E97" s="6" t="str">
        <f>_xlfn.XLOOKUP(db[[#This Row],[Code]],fy_18[Code],fy_18[Name of partner company])</f>
        <v>Greeny Germany GmbH</v>
      </c>
      <c r="F97" s="38">
        <f>-SUMIF(fy_16[Code],db[[#This Row],[Code]],fy_16[Amounts])</f>
        <v>0</v>
      </c>
      <c r="G97" s="38">
        <f>-SUMIF(fy_17[Code],db[[#This Row],[Code]],fy_17[Amounts])</f>
        <v>0</v>
      </c>
      <c r="H97" s="38">
        <f>-SUMIF(fy_18[Code],db[[#This Row],[Code]],fy_18[Amounts])</f>
        <v>-375290.46599999996</v>
      </c>
      <c r="I97" t="s">
        <v>226</v>
      </c>
    </row>
    <row r="98" spans="2:9" ht="15" x14ac:dyDescent="0.25">
      <c r="B98" s="6" t="s">
        <v>210</v>
      </c>
      <c r="C98" s="6" t="str">
        <f>_xlfn.XLOOKUP(db[[#This Row],[Code]],fy_18[Code],fy_18[P&amp;L account])</f>
        <v>R&amp;D expenses</v>
      </c>
      <c r="D98" s="6">
        <f>_xlfn.XLOOKUP(db[[#This Row],[Code]],fy_18[Code],fy_18[Partner company])</f>
        <v>17000</v>
      </c>
      <c r="E98" s="6" t="str">
        <f>_xlfn.XLOOKUP(db[[#This Row],[Code]],fy_18[Code],fy_18[Name of partner company])</f>
        <v>Generco Risk Management Ltd</v>
      </c>
      <c r="F98" s="38">
        <f>-SUMIF(fy_16[Code],db[[#This Row],[Code]],fy_16[Amounts])</f>
        <v>0</v>
      </c>
      <c r="G98" s="38">
        <f>-SUMIF(fy_17[Code],db[[#This Row],[Code]],fy_17[Amounts])</f>
        <v>0</v>
      </c>
      <c r="H98" s="38">
        <f>-SUMIF(fy_18[Code],db[[#This Row],[Code]],fy_18[Amounts])</f>
        <v>-4920</v>
      </c>
      <c r="I98" t="s">
        <v>226</v>
      </c>
    </row>
    <row r="99" spans="2:9" ht="15" x14ac:dyDescent="0.25">
      <c r="B99" s="6" t="s">
        <v>211</v>
      </c>
      <c r="C99" s="6" t="str">
        <f>_xlfn.XLOOKUP(db[[#This Row],[Code]],fy_18[Code],fy_18[P&amp;L account])</f>
        <v>Other operative currency differences</v>
      </c>
      <c r="D99" s="6" t="str">
        <f>_xlfn.XLOOKUP(db[[#This Row],[Code]],fy_18[Code],fy_18[Partner company])</f>
        <v>1118</v>
      </c>
      <c r="E99" s="6" t="str">
        <f>_xlfn.XLOOKUP(db[[#This Row],[Code]],fy_18[Code],fy_18[Name of partner company])</f>
        <v>Gener Green LLC</v>
      </c>
      <c r="F99" s="38">
        <f>-SUMIF(fy_16[Code],db[[#This Row],[Code]],fy_16[Amounts])</f>
        <v>0</v>
      </c>
      <c r="G99" s="38">
        <f>-SUMIF(fy_17[Code],db[[#This Row],[Code]],fy_17[Amounts])</f>
        <v>0</v>
      </c>
      <c r="H99" s="38">
        <f>-SUMIF(fy_18[Code],db[[#This Row],[Code]],fy_18[Amounts])</f>
        <v>0</v>
      </c>
      <c r="I99" t="s">
        <v>226</v>
      </c>
    </row>
    <row r="100" spans="2:9" ht="15" x14ac:dyDescent="0.25">
      <c r="B100" s="6" t="s">
        <v>212</v>
      </c>
      <c r="C100" s="6" t="str">
        <f>_xlfn.XLOOKUP(db[[#This Row],[Code]],fy_18[Code],fy_18[P&amp;L account])</f>
        <v>Other operative currency differences</v>
      </c>
      <c r="D100" s="6">
        <f>_xlfn.XLOOKUP(db[[#This Row],[Code]],fy_18[Code],fy_18[Partner company])</f>
        <v>111111</v>
      </c>
      <c r="E100" s="6" t="str">
        <f>_xlfn.XLOOKUP(db[[#This Row],[Code]],fy_18[Code],fy_18[Name of partner company])</f>
        <v>External</v>
      </c>
      <c r="F100" s="38">
        <f>-SUMIF(fy_16[Code],db[[#This Row],[Code]],fy_16[Amounts])</f>
        <v>0</v>
      </c>
      <c r="G100" s="38">
        <f>-SUMIF(fy_17[Code],db[[#This Row],[Code]],fy_17[Amounts])</f>
        <v>0</v>
      </c>
      <c r="H100" s="38">
        <f>-SUMIF(fy_18[Code],db[[#This Row],[Code]],fy_18[Amounts])</f>
        <v>1252.8369999999998</v>
      </c>
      <c r="I100" t="s">
        <v>226</v>
      </c>
    </row>
    <row r="101" spans="2:9" ht="15" x14ac:dyDescent="0.25">
      <c r="B101" s="6" t="s">
        <v>213</v>
      </c>
      <c r="C101" s="6" t="str">
        <f>_xlfn.XLOOKUP(db[[#This Row],[Code]],fy_18[Code],fy_18[P&amp;L account])</f>
        <v>Corporate recharges</v>
      </c>
      <c r="D101" s="6">
        <f>_xlfn.XLOOKUP(db[[#This Row],[Code]],fy_18[Code],fy_18[Partner company])</f>
        <v>1006</v>
      </c>
      <c r="E101" s="6" t="str">
        <f>_xlfn.XLOOKUP(db[[#This Row],[Code]],fy_18[Code],fy_18[Name of partner company])</f>
        <v>Generco Mining GmbH</v>
      </c>
      <c r="F101" s="38">
        <f>-SUMIF(fy_16[Code],db[[#This Row],[Code]],fy_16[Amounts])</f>
        <v>0</v>
      </c>
      <c r="G101" s="38">
        <f>-SUMIF(fy_17[Code],db[[#This Row],[Code]],fy_17[Amounts])</f>
        <v>0</v>
      </c>
      <c r="H101" s="38">
        <f>-SUMIF(fy_18[Code],db[[#This Row],[Code]],fy_18[Amounts])</f>
        <v>0</v>
      </c>
      <c r="I101" t="s">
        <v>225</v>
      </c>
    </row>
    <row r="102" spans="2:9" ht="15" x14ac:dyDescent="0.25">
      <c r="B102" s="6" t="s">
        <v>214</v>
      </c>
      <c r="C102" s="6" t="str">
        <f>_xlfn.XLOOKUP(db[[#This Row],[Code]],fy_18[Code],fy_18[P&amp;L account])</f>
        <v>Reimbursements+compensation for damages</v>
      </c>
      <c r="D102" s="6">
        <f>_xlfn.XLOOKUP(db[[#This Row],[Code]],fy_18[Code],fy_18[Partner company])</f>
        <v>111111</v>
      </c>
      <c r="E102" s="6" t="str">
        <f>_xlfn.XLOOKUP(db[[#This Row],[Code]],fy_18[Code],fy_18[Name of partner company])</f>
        <v>External</v>
      </c>
      <c r="F102" s="38">
        <f>-SUMIF(fy_16[Code],db[[#This Row],[Code]],fy_16[Amounts])</f>
        <v>0</v>
      </c>
      <c r="G102" s="38">
        <f>-SUMIF(fy_17[Code],db[[#This Row],[Code]],fy_17[Amounts])</f>
        <v>0</v>
      </c>
      <c r="H102" s="38">
        <f>-SUMIF(fy_18[Code],db[[#This Row],[Code]],fy_18[Amounts])</f>
        <v>61499.999999999993</v>
      </c>
      <c r="I102" t="s">
        <v>226</v>
      </c>
    </row>
    <row r="103" spans="2:9" ht="15" x14ac:dyDescent="0.25">
      <c r="B103" s="6" t="s">
        <v>215</v>
      </c>
      <c r="C103" s="6" t="str">
        <f>_xlfn.XLOOKUP(db[[#This Row],[Code]],fy_18[Code],fy_18[P&amp;L account])</f>
        <v>Other income</v>
      </c>
      <c r="D103" s="6">
        <f>_xlfn.XLOOKUP(db[[#This Row],[Code]],fy_18[Code],fy_18[Partner company])</f>
        <v>105</v>
      </c>
      <c r="E103" s="6" t="str">
        <f>_xlfn.XLOOKUP(db[[#This Row],[Code]],fy_18[Code],fy_18[Name of partner company])</f>
        <v>Generco Healthcare Ltd</v>
      </c>
      <c r="F103" s="38">
        <f>-SUMIF(fy_16[Code],db[[#This Row],[Code]],fy_16[Amounts])</f>
        <v>0</v>
      </c>
      <c r="G103" s="38">
        <f>-SUMIF(fy_17[Code],db[[#This Row],[Code]],fy_17[Amounts])</f>
        <v>0</v>
      </c>
      <c r="H103" s="38">
        <f>-SUMIF(fy_18[Code],db[[#This Row],[Code]],fy_18[Amounts])</f>
        <v>30913.425999999996</v>
      </c>
      <c r="I103" t="s">
        <v>74</v>
      </c>
    </row>
    <row r="104" spans="2:9" ht="15" x14ac:dyDescent="0.25">
      <c r="B104" s="6" t="s">
        <v>216</v>
      </c>
      <c r="C104" s="6" t="str">
        <f>_xlfn.XLOOKUP(db[[#This Row],[Code]],fy_18[Code],fy_18[P&amp;L account])</f>
        <v>Leasings</v>
      </c>
      <c r="D104" s="6">
        <f>_xlfn.XLOOKUP(db[[#This Row],[Code]],fy_18[Code],fy_18[Partner company])</f>
        <v>105</v>
      </c>
      <c r="E104" s="6" t="str">
        <f>_xlfn.XLOOKUP(db[[#This Row],[Code]],fy_18[Code],fy_18[Name of partner company])</f>
        <v>Generco Healthcare Ltd</v>
      </c>
      <c r="F104" s="38">
        <f>-SUMIF(fy_16[Code],db[[#This Row],[Code]],fy_16[Amounts])</f>
        <v>0</v>
      </c>
      <c r="G104" s="38">
        <f>-SUMIF(fy_17[Code],db[[#This Row],[Code]],fy_17[Amounts])</f>
        <v>0</v>
      </c>
      <c r="H104" s="38">
        <f>-SUMIF(fy_18[Code],db[[#This Row],[Code]],fy_18[Amounts])</f>
        <v>1423120</v>
      </c>
      <c r="I104" t="s">
        <v>228</v>
      </c>
    </row>
    <row r="105" spans="2:9" ht="15" x14ac:dyDescent="0.25">
      <c r="B105" s="6" t="s">
        <v>217</v>
      </c>
      <c r="C105" s="6" t="str">
        <f>_xlfn.XLOOKUP(db[[#This Row],[Code]],fy_18[Code],fy_18[P&amp;L account])</f>
        <v>Insurance expenses</v>
      </c>
      <c r="D105" s="6">
        <f>_xlfn.XLOOKUP(db[[#This Row],[Code]],fy_18[Code],fy_18[Partner company])</f>
        <v>88</v>
      </c>
      <c r="E105" s="6" t="str">
        <f>_xlfn.XLOOKUP(db[[#This Row],[Code]],fy_18[Code],fy_18[Name of partner company])</f>
        <v>Generco Ltd</v>
      </c>
      <c r="F105" s="38">
        <f>-SUMIF(fy_16[Code],db[[#This Row],[Code]],fy_16[Amounts])</f>
        <v>0</v>
      </c>
      <c r="G105" s="38">
        <f>-SUMIF(fy_17[Code],db[[#This Row],[Code]],fy_17[Amounts])</f>
        <v>0</v>
      </c>
      <c r="H105" s="38">
        <f>-SUMIF(fy_18[Code],db[[#This Row],[Code]],fy_18[Amounts])</f>
        <v>-584.66</v>
      </c>
      <c r="I105" t="s">
        <v>226</v>
      </c>
    </row>
    <row r="106" spans="2:9" ht="15" x14ac:dyDescent="0.25">
      <c r="B106" s="6" t="s">
        <v>218</v>
      </c>
      <c r="C106" s="6" t="str">
        <f>_xlfn.XLOOKUP(db[[#This Row],[Code]],fy_18[Code],fy_18[P&amp;L account])</f>
        <v>Repairs/Maintenance costs</v>
      </c>
      <c r="D106" s="6">
        <f>_xlfn.XLOOKUP(db[[#This Row],[Code]],fy_18[Code],fy_18[Partner company])</f>
        <v>111111</v>
      </c>
      <c r="E106" s="6" t="str">
        <f>_xlfn.XLOOKUP(db[[#This Row],[Code]],fy_18[Code],fy_18[Name of partner company])</f>
        <v>External</v>
      </c>
      <c r="F106" s="38">
        <f>-SUMIF(fy_16[Code],db[[#This Row],[Code]],fy_16[Amounts])</f>
        <v>0</v>
      </c>
      <c r="G106" s="38">
        <f>-SUMIF(fy_17[Code],db[[#This Row],[Code]],fy_17[Amounts])</f>
        <v>0</v>
      </c>
      <c r="H106" s="38">
        <f>-SUMIF(fy_18[Code],db[[#This Row],[Code]],fy_18[Amounts])</f>
        <v>-1352.9999999999998</v>
      </c>
      <c r="I106" t="s">
        <v>226</v>
      </c>
    </row>
    <row r="107" spans="2:9" ht="15" x14ac:dyDescent="0.25">
      <c r="B107" s="6" t="s">
        <v>219</v>
      </c>
      <c r="C107" s="6" t="str">
        <f>_xlfn.XLOOKUP(db[[#This Row],[Code]],fy_18[Code],fy_18[P&amp;L account])</f>
        <v>Impairment of participation</v>
      </c>
      <c r="D107" s="6">
        <f>_xlfn.XLOOKUP(db[[#This Row],[Code]],fy_18[Code],fy_18[Partner company])</f>
        <v>111101</v>
      </c>
      <c r="E107" s="6" t="str">
        <f>_xlfn.XLOOKUP(db[[#This Row],[Code]],fy_18[Code],fy_18[Name of partner company])</f>
        <v>Not assigned</v>
      </c>
      <c r="F107" s="38">
        <f>-SUMIF(fy_16[Code],db[[#This Row],[Code]],fy_16[Amounts])</f>
        <v>0</v>
      </c>
      <c r="G107" s="38">
        <f>-SUMIF(fy_17[Code],db[[#This Row],[Code]],fy_17[Amounts])</f>
        <v>0</v>
      </c>
      <c r="H107" s="38">
        <f>-SUMIF(fy_18[Code],db[[#This Row],[Code]],fy_18[Amounts])</f>
        <v>0</v>
      </c>
      <c r="I107"/>
    </row>
    <row r="108" spans="2:9" ht="15" x14ac:dyDescent="0.25">
      <c r="B108" s="6" t="s">
        <v>220</v>
      </c>
      <c r="C108" s="6" t="str">
        <f>_xlfn.XLOOKUP(db[[#This Row],[Code]],fy_18[Code],fy_18[P&amp;L account])</f>
        <v>Offset segments (tech.)</v>
      </c>
      <c r="D108" s="6">
        <f>_xlfn.XLOOKUP(db[[#This Row],[Code]],fy_18[Code],fy_18[Partner company])</f>
        <v>111101</v>
      </c>
      <c r="E108" s="6" t="str">
        <f>_xlfn.XLOOKUP(db[[#This Row],[Code]],fy_18[Code],fy_18[Name of partner company])</f>
        <v>Not assigned</v>
      </c>
      <c r="F108" s="38">
        <f>-SUMIF(fy_16[Code],db[[#This Row],[Code]],fy_16[Amounts])</f>
        <v>0</v>
      </c>
      <c r="G108" s="38">
        <f>-SUMIF(fy_17[Code],db[[#This Row],[Code]],fy_17[Amounts])</f>
        <v>0</v>
      </c>
      <c r="H108" s="38">
        <f>-SUMIF(fy_18[Code],db[[#This Row],[Code]],fy_18[Amounts])</f>
        <v>0</v>
      </c>
      <c r="I108"/>
    </row>
    <row r="109" spans="2:9" ht="15" x14ac:dyDescent="0.25">
      <c r="B109"/>
    </row>
    <row r="110" spans="2:9" ht="15" x14ac:dyDescent="0.25">
      <c r="B110"/>
    </row>
    <row r="111" spans="2:9" ht="15" x14ac:dyDescent="0.25">
      <c r="B111"/>
    </row>
    <row r="112" spans="2:9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549F-E171-415B-9703-0A8CDBEF3F31}">
  <dimension ref="B1:R24"/>
  <sheetViews>
    <sheetView showGridLines="0" workbookViewId="0"/>
  </sheetViews>
  <sheetFormatPr defaultRowHeight="12" x14ac:dyDescent="0.2"/>
  <cols>
    <col min="1" max="1" width="2" style="25" customWidth="1"/>
    <col min="2" max="2" width="22.42578125" style="25" bestFit="1" customWidth="1"/>
    <col min="3" max="3" width="15" style="25" bestFit="1" customWidth="1"/>
    <col min="4" max="4" width="19.140625" style="25" bestFit="1" customWidth="1"/>
    <col min="5" max="5" width="11.140625" style="25" bestFit="1" customWidth="1"/>
    <col min="6" max="6" width="42.140625" style="25" bestFit="1" customWidth="1"/>
    <col min="7" max="7" width="31.85546875" style="25" bestFit="1" customWidth="1"/>
    <col min="8" max="8" width="8.42578125" style="25" bestFit="1" customWidth="1"/>
    <col min="9" max="9" width="16.42578125" style="25" bestFit="1" customWidth="1"/>
    <col min="10" max="10" width="15.42578125" style="25" bestFit="1" customWidth="1"/>
    <col min="11" max="11" width="13.28515625" style="25" bestFit="1" customWidth="1"/>
    <col min="12" max="12" width="18.5703125" style="25" bestFit="1" customWidth="1"/>
    <col min="13" max="13" width="14.28515625" style="25" bestFit="1" customWidth="1"/>
    <col min="14" max="14" width="17.28515625" style="25" bestFit="1" customWidth="1"/>
    <col min="15" max="15" width="17" style="25" bestFit="1" customWidth="1"/>
    <col min="16" max="16" width="26.85546875" style="25" bestFit="1" customWidth="1"/>
    <col min="17" max="17" width="5" style="25" bestFit="1" customWidth="1"/>
    <col min="18" max="18" width="31.85546875" style="25" bestFit="1" customWidth="1"/>
    <col min="19" max="16384" width="9.140625" style="25"/>
  </cols>
  <sheetData>
    <row r="1" spans="2:18" ht="15.75" x14ac:dyDescent="0.25">
      <c r="B1" s="24" t="s">
        <v>237</v>
      </c>
    </row>
    <row r="2" spans="2:18" x14ac:dyDescent="0.2">
      <c r="B2" s="28"/>
    </row>
    <row r="3" spans="2:18" x14ac:dyDescent="0.2">
      <c r="B3" s="27" t="s">
        <v>224</v>
      </c>
      <c r="C3" s="27" t="s">
        <v>66</v>
      </c>
      <c r="D3" s="27" t="s">
        <v>225</v>
      </c>
      <c r="E3" s="27" t="s">
        <v>104</v>
      </c>
      <c r="F3" s="27" t="s">
        <v>226</v>
      </c>
      <c r="G3" s="27" t="s">
        <v>227</v>
      </c>
      <c r="H3" s="27" t="s">
        <v>228</v>
      </c>
      <c r="I3" s="27" t="s">
        <v>229</v>
      </c>
      <c r="J3" s="27" t="s">
        <v>230</v>
      </c>
      <c r="K3" s="27" t="s">
        <v>74</v>
      </c>
      <c r="L3" s="27" t="s">
        <v>67</v>
      </c>
      <c r="M3" s="27" t="s">
        <v>233</v>
      </c>
      <c r="N3" s="27" t="s">
        <v>234</v>
      </c>
      <c r="O3" s="27" t="s">
        <v>231</v>
      </c>
      <c r="P3" s="27" t="s">
        <v>232</v>
      </c>
      <c r="Q3" s="27" t="s">
        <v>72</v>
      </c>
      <c r="R3" s="27" t="s">
        <v>236</v>
      </c>
    </row>
    <row r="4" spans="2:18" x14ac:dyDescent="0.2">
      <c r="B4" s="25" t="s">
        <v>65</v>
      </c>
      <c r="C4" s="25" t="s">
        <v>66</v>
      </c>
      <c r="D4" s="25" t="s">
        <v>73</v>
      </c>
      <c r="E4" s="25" t="s">
        <v>104</v>
      </c>
      <c r="F4" s="25" t="s">
        <v>69</v>
      </c>
      <c r="G4" s="25" t="s">
        <v>1</v>
      </c>
      <c r="H4" s="25" t="s">
        <v>77</v>
      </c>
      <c r="I4" s="25" t="s">
        <v>78</v>
      </c>
      <c r="J4" s="25" t="s">
        <v>8</v>
      </c>
      <c r="K4" s="25" t="s">
        <v>74</v>
      </c>
      <c r="L4" s="25" t="s">
        <v>67</v>
      </c>
      <c r="M4" s="25" t="s">
        <v>89</v>
      </c>
      <c r="N4" s="25" t="s">
        <v>64</v>
      </c>
      <c r="O4" s="25" t="s">
        <v>86</v>
      </c>
      <c r="P4" s="25" t="s">
        <v>87</v>
      </c>
      <c r="Q4" s="25" t="s">
        <v>72</v>
      </c>
      <c r="R4" s="25" t="s">
        <v>85</v>
      </c>
    </row>
    <row r="5" spans="2:18" x14ac:dyDescent="0.2">
      <c r="F5" s="25" t="s">
        <v>68</v>
      </c>
      <c r="G5" s="25" t="s">
        <v>70</v>
      </c>
      <c r="L5" s="25" t="s">
        <v>9</v>
      </c>
      <c r="M5" s="25" t="s">
        <v>90</v>
      </c>
      <c r="O5" s="25" t="s">
        <v>88</v>
      </c>
      <c r="P5" s="25" t="s">
        <v>15</v>
      </c>
      <c r="R5" s="25" t="s">
        <v>23</v>
      </c>
    </row>
    <row r="6" spans="2:18" x14ac:dyDescent="0.2">
      <c r="F6" s="25" t="s">
        <v>75</v>
      </c>
      <c r="G6" s="25" t="s">
        <v>71</v>
      </c>
      <c r="M6" s="25" t="s">
        <v>91</v>
      </c>
      <c r="P6" s="25" t="s">
        <v>20</v>
      </c>
      <c r="R6" s="25" t="s">
        <v>28</v>
      </c>
    </row>
    <row r="7" spans="2:18" x14ac:dyDescent="0.2">
      <c r="F7" s="25" t="s">
        <v>76</v>
      </c>
      <c r="G7" s="25" t="s">
        <v>14</v>
      </c>
      <c r="P7" s="25" t="s">
        <v>106</v>
      </c>
    </row>
    <row r="8" spans="2:18" x14ac:dyDescent="0.2">
      <c r="F8" s="25" t="s">
        <v>7</v>
      </c>
    </row>
    <row r="9" spans="2:18" x14ac:dyDescent="0.2">
      <c r="F9" s="25" t="s">
        <v>79</v>
      </c>
    </row>
    <row r="10" spans="2:18" x14ac:dyDescent="0.2">
      <c r="F10" s="25" t="s">
        <v>80</v>
      </c>
    </row>
    <row r="11" spans="2:18" x14ac:dyDescent="0.2">
      <c r="F11" s="25" t="s">
        <v>81</v>
      </c>
    </row>
    <row r="12" spans="2:18" x14ac:dyDescent="0.2">
      <c r="F12" s="25" t="s">
        <v>82</v>
      </c>
    </row>
    <row r="13" spans="2:18" x14ac:dyDescent="0.2">
      <c r="F13" s="25" t="s">
        <v>83</v>
      </c>
    </row>
    <row r="14" spans="2:18" x14ac:dyDescent="0.2">
      <c r="F14" s="25" t="s">
        <v>84</v>
      </c>
    </row>
    <row r="15" spans="2:18" x14ac:dyDescent="0.2">
      <c r="F15" s="25" t="s">
        <v>105</v>
      </c>
    </row>
    <row r="16" spans="2:18" x14ac:dyDescent="0.2">
      <c r="F16" s="25" t="s">
        <v>18</v>
      </c>
    </row>
    <row r="17" spans="6:6" x14ac:dyDescent="0.2">
      <c r="F17" s="25" t="s">
        <v>8</v>
      </c>
    </row>
    <row r="18" spans="6:6" x14ac:dyDescent="0.2">
      <c r="F18" s="25" t="s">
        <v>21</v>
      </c>
    </row>
    <row r="19" spans="6:6" x14ac:dyDescent="0.2">
      <c r="F19" s="25" t="s">
        <v>22</v>
      </c>
    </row>
    <row r="20" spans="6:6" x14ac:dyDescent="0.2">
      <c r="F20" s="25" t="s">
        <v>24</v>
      </c>
    </row>
    <row r="21" spans="6:6" x14ac:dyDescent="0.2">
      <c r="F21" s="25" t="s">
        <v>26</v>
      </c>
    </row>
    <row r="22" spans="6:6" x14ac:dyDescent="0.2">
      <c r="F22" s="25" t="s">
        <v>27</v>
      </c>
    </row>
    <row r="23" spans="6:6" x14ac:dyDescent="0.2">
      <c r="F23" s="25" t="s">
        <v>79</v>
      </c>
    </row>
    <row r="24" spans="6:6" x14ac:dyDescent="0.2">
      <c r="F24" s="25" t="s">
        <v>84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H108"/>
  <sheetViews>
    <sheetView showGridLines="0" workbookViewId="0"/>
  </sheetViews>
  <sheetFormatPr defaultRowHeight="12" x14ac:dyDescent="0.2"/>
  <cols>
    <col min="1" max="1" width="2" style="25" customWidth="1"/>
    <col min="2" max="2" width="24.42578125" style="25" bestFit="1" customWidth="1"/>
    <col min="3" max="5" width="8.7109375" style="25" customWidth="1"/>
    <col min="6" max="6" width="2" style="25" customWidth="1"/>
    <col min="7" max="8" width="14" style="25" bestFit="1" customWidth="1"/>
    <col min="9" max="18" width="9.140625" style="25" customWidth="1"/>
    <col min="19" max="16384" width="9.140625" style="25"/>
  </cols>
  <sheetData>
    <row r="1" spans="2:8" ht="15.75" x14ac:dyDescent="0.25">
      <c r="B1" s="24" t="s">
        <v>238</v>
      </c>
    </row>
    <row r="3" spans="2:8" ht="12.75" thickBot="1" x14ac:dyDescent="0.25">
      <c r="B3" s="30" t="s">
        <v>244</v>
      </c>
      <c r="C3" s="31" t="s">
        <v>223</v>
      </c>
      <c r="D3" s="31" t="s">
        <v>221</v>
      </c>
      <c r="E3" s="31" t="s">
        <v>222</v>
      </c>
      <c r="G3" s="31" t="s">
        <v>245</v>
      </c>
      <c r="H3" s="31" t="s">
        <v>246</v>
      </c>
    </row>
    <row r="4" spans="2:8" x14ac:dyDescent="0.2">
      <c r="B4" s="25" t="s">
        <v>224</v>
      </c>
      <c r="C4" s="34">
        <f>SUMIF(db[Mapping],'2.2 P&amp;L statement'!$B4,db[FY16])/1000000</f>
        <v>14.500341000000001</v>
      </c>
      <c r="D4" s="34">
        <f>SUMIF(db[Mapping],'2.2 P&amp;L statement'!$B4,db[FY17])/1000000</f>
        <v>16.148295364999999</v>
      </c>
      <c r="E4" s="34">
        <f>SUMIF(db[Mapping],'2.2 P&amp;L statement'!$B4,db[FY18])/1000000</f>
        <v>15.047803019</v>
      </c>
      <c r="G4" s="39">
        <f>IF(ISERROR((D4/C4)-1),"n.a.",IF(((D4/C4)-1)&gt;1,"&gt;100.0%",IF(((D4/C4)-1)&lt;-1,"&lt;-100.0%",((D4/C4)-1))))</f>
        <v>0.11364935245315944</v>
      </c>
      <c r="H4" s="39">
        <f>IF(ISERROR((E4/D4)-1),"n.a.",IF(((E4/D4)-1)&gt;1,"&gt;100.0%",IF(((E4/D4)-1)&lt;-1,"&lt;-100.0%",((E4/D4)-1))))</f>
        <v>-6.8149134080444096E-2</v>
      </c>
    </row>
    <row r="5" spans="2:8" x14ac:dyDescent="0.2">
      <c r="B5" s="25" t="s">
        <v>66</v>
      </c>
      <c r="C5" s="34">
        <f>SUMIF(db[Mapping],'2.2 P&amp;L statement'!$B5,db[FY16])/1000000</f>
        <v>4.7948561920000001</v>
      </c>
      <c r="D5" s="34">
        <f>SUMIF(db[Mapping],'2.2 P&amp;L statement'!$B5,db[FY17])/1000000</f>
        <v>6.9602176449999993</v>
      </c>
      <c r="E5" s="34">
        <f>SUMIF(db[Mapping],'2.2 P&amp;L statement'!$B5,db[FY18])/1000000</f>
        <v>6.3736175140000002</v>
      </c>
      <c r="G5" s="39">
        <f t="shared" ref="G5:G24" si="0">IF(ISERROR((D5/C5)-1),"n.a.",IF(((D5/C5)-1)&gt;1,"&gt;100.0%",IF(((D5/C5)-1)&lt;-1,"&lt;-100.0%",((D5/C5)-1))))</f>
        <v>0.45160091696030569</v>
      </c>
      <c r="H5" s="39">
        <f t="shared" ref="H5:H24" si="1">IF(ISERROR((E5/D5)-1),"n.a.",IF(((E5/D5)-1)&gt;1,"&gt;100.0%",IF(((E5/D5)-1)&lt;-1,"&lt;-100.0%",((E5/D5)-1))))</f>
        <v>-8.4278992542911935E-2</v>
      </c>
    </row>
    <row r="6" spans="2:8" x14ac:dyDescent="0.2">
      <c r="B6" s="25" t="s">
        <v>225</v>
      </c>
      <c r="C6" s="34">
        <f>SUMIF(db[Mapping],'2.2 P&amp;L statement'!$B6,db[FY16])/1000000</f>
        <v>3.2200542519999997</v>
      </c>
      <c r="D6" s="34">
        <f>SUMIF(db[Mapping],'2.2 P&amp;L statement'!$B6,db[FY17])/1000000</f>
        <v>2.9240919949999999</v>
      </c>
      <c r="E6" s="34">
        <f>SUMIF(db[Mapping],'2.2 P&amp;L statement'!$B6,db[FY18])/1000000</f>
        <v>4.8931777299999997</v>
      </c>
      <c r="G6" s="39">
        <f t="shared" si="0"/>
        <v>-9.1912195832158816E-2</v>
      </c>
      <c r="H6" s="39">
        <f t="shared" si="1"/>
        <v>0.67340074743441836</v>
      </c>
    </row>
    <row r="7" spans="2:8" x14ac:dyDescent="0.2">
      <c r="B7" s="32" t="s">
        <v>239</v>
      </c>
      <c r="C7" s="35">
        <f>SUM(C4:C6)</f>
        <v>22.515251444</v>
      </c>
      <c r="D7" s="35">
        <f t="shared" ref="D7:E7" si="2">SUM(D4:D6)</f>
        <v>26.032605005000001</v>
      </c>
      <c r="E7" s="35">
        <f t="shared" si="2"/>
        <v>26.314598263000001</v>
      </c>
      <c r="G7" s="40">
        <f t="shared" si="0"/>
        <v>0.15622093183140207</v>
      </c>
      <c r="H7" s="40">
        <f t="shared" si="1"/>
        <v>1.0832310402506318E-2</v>
      </c>
    </row>
    <row r="8" spans="2:8" x14ac:dyDescent="0.2">
      <c r="B8" s="25" t="s">
        <v>104</v>
      </c>
      <c r="C8" s="34">
        <f>SUMIF(db[Mapping],'2.2 P&amp;L statement'!$B8,db[FY16])/1000000</f>
        <v>-4.4289117640000004</v>
      </c>
      <c r="D8" s="34">
        <f>SUMIF(db[Mapping],'2.2 P&amp;L statement'!$B8,db[FY17])/1000000</f>
        <v>-5.4631888250000005</v>
      </c>
      <c r="E8" s="34">
        <f>SUMIF(db[Mapping],'2.2 P&amp;L statement'!$B8,db[FY18])/1000000</f>
        <v>-5.6741520669999996</v>
      </c>
      <c r="G8" s="39">
        <f t="shared" si="0"/>
        <v>0.23352848647991253</v>
      </c>
      <c r="H8" s="39">
        <f t="shared" si="1"/>
        <v>3.861540370609462E-2</v>
      </c>
    </row>
    <row r="9" spans="2:8" x14ac:dyDescent="0.2">
      <c r="B9" s="32" t="s">
        <v>240</v>
      </c>
      <c r="C9" s="35">
        <f>SUM(C7:C8)</f>
        <v>18.086339680000002</v>
      </c>
      <c r="D9" s="35">
        <f t="shared" ref="D9:E9" si="3">SUM(D7:D8)</f>
        <v>20.569416180000001</v>
      </c>
      <c r="E9" s="35">
        <f t="shared" si="3"/>
        <v>20.640446195999999</v>
      </c>
      <c r="G9" s="40">
        <f t="shared" si="0"/>
        <v>0.13729016174266606</v>
      </c>
      <c r="H9" s="40">
        <f t="shared" si="1"/>
        <v>3.4531858064625887E-3</v>
      </c>
    </row>
    <row r="10" spans="2:8" x14ac:dyDescent="0.2">
      <c r="B10" s="25" t="s">
        <v>226</v>
      </c>
      <c r="C10" s="34">
        <f>SUMIF(db[Mapping],'2.2 P&amp;L statement'!$B10,db[FY16])/1000000</f>
        <v>-3.3966489799999997</v>
      </c>
      <c r="D10" s="34">
        <f>SUMIF(db[Mapping],'2.2 P&amp;L statement'!$B10,db[FY17])/1000000</f>
        <v>-3.7048433449999996</v>
      </c>
      <c r="E10" s="34">
        <f>SUMIF(db[Mapping],'2.2 P&amp;L statement'!$B10,db[FY18])/1000000</f>
        <v>-6.6874830379999999</v>
      </c>
      <c r="G10" s="39">
        <f t="shared" si="0"/>
        <v>9.0734829184498045E-2</v>
      </c>
      <c r="H10" s="39">
        <f t="shared" si="1"/>
        <v>0.80506499607475335</v>
      </c>
    </row>
    <row r="11" spans="2:8" x14ac:dyDescent="0.2">
      <c r="B11" s="25" t="s">
        <v>227</v>
      </c>
      <c r="C11" s="34">
        <f>SUMIF(db[Mapping],'2.2 P&amp;L statement'!$B11,db[FY16])/1000000</f>
        <v>-6.17073904</v>
      </c>
      <c r="D11" s="34">
        <f>SUMIF(db[Mapping],'2.2 P&amp;L statement'!$B11,db[FY17])/1000000</f>
        <v>-8.0718589449999989</v>
      </c>
      <c r="E11" s="34">
        <f>SUMIF(db[Mapping],'2.2 P&amp;L statement'!$B11,db[FY18])/1000000</f>
        <v>-5.8358881759999992</v>
      </c>
      <c r="G11" s="39">
        <f t="shared" si="0"/>
        <v>0.30808625882192531</v>
      </c>
      <c r="H11" s="39">
        <f t="shared" si="1"/>
        <v>-0.27700815688622027</v>
      </c>
    </row>
    <row r="12" spans="2:8" x14ac:dyDescent="0.2">
      <c r="B12" s="25" t="s">
        <v>228</v>
      </c>
      <c r="C12" s="34">
        <f>SUMIF(db[Mapping],'2.2 P&amp;L statement'!$B12,db[FY16])/1000000</f>
        <v>-1.127445872</v>
      </c>
      <c r="D12" s="34">
        <f>SUMIF(db[Mapping],'2.2 P&amp;L statement'!$B12,db[FY17])/1000000</f>
        <v>-1.0553814750000001</v>
      </c>
      <c r="E12" s="34">
        <f>SUMIF(db[Mapping],'2.2 P&amp;L statement'!$B12,db[FY18])/1000000</f>
        <v>1.596053449</v>
      </c>
      <c r="G12" s="39">
        <f t="shared" si="0"/>
        <v>-6.391827651305626E-2</v>
      </c>
      <c r="H12" s="39" t="str">
        <f t="shared" si="1"/>
        <v>&lt;-100.0%</v>
      </c>
    </row>
    <row r="13" spans="2:8" x14ac:dyDescent="0.2">
      <c r="B13" s="25" t="s">
        <v>229</v>
      </c>
      <c r="C13" s="34">
        <f>SUMIF(db[Mapping],'2.2 P&amp;L statement'!$B13,db[FY16])/1000000</f>
        <v>-2.5430882079999995</v>
      </c>
      <c r="D13" s="34">
        <f>SUMIF(db[Mapping],'2.2 P&amp;L statement'!$B13,db[FY17])/1000000</f>
        <v>-1.837786345</v>
      </c>
      <c r="E13" s="34">
        <f>SUMIF(db[Mapping],'2.2 P&amp;L statement'!$B13,db[FY18])/1000000</f>
        <v>-1.9549839309999999</v>
      </c>
      <c r="G13" s="39">
        <f t="shared" si="0"/>
        <v>-0.27734069969782171</v>
      </c>
      <c r="H13" s="39">
        <f t="shared" si="1"/>
        <v>6.3771061483210545E-2</v>
      </c>
    </row>
    <row r="14" spans="2:8" x14ac:dyDescent="0.2">
      <c r="B14" s="25" t="s">
        <v>230</v>
      </c>
      <c r="C14" s="34">
        <f>SUMIF(db[Mapping],'2.2 P&amp;L statement'!$B14,db[FY16])/1000000</f>
        <v>-1.8135250039999999</v>
      </c>
      <c r="D14" s="34">
        <f>SUMIF(db[Mapping],'2.2 P&amp;L statement'!$B14,db[FY17])/1000000</f>
        <v>-2.3932591899999998</v>
      </c>
      <c r="E14" s="34">
        <f>SUMIF(db[Mapping],'2.2 P&amp;L statement'!$B14,db[FY18])/1000000</f>
        <v>-2.5144318869999998</v>
      </c>
      <c r="G14" s="39">
        <f t="shared" si="0"/>
        <v>0.31967256294857238</v>
      </c>
      <c r="H14" s="39">
        <f t="shared" si="1"/>
        <v>5.0630829082912721E-2</v>
      </c>
    </row>
    <row r="15" spans="2:8" x14ac:dyDescent="0.2">
      <c r="B15" s="25" t="s">
        <v>74</v>
      </c>
      <c r="C15" s="34">
        <f>SUMIF(db[Mapping],'2.2 P&amp;L statement'!$B15,db[FY16])/1000000</f>
        <v>5.7221999999999995E-5</v>
      </c>
      <c r="D15" s="34">
        <f>SUMIF(db[Mapping],'2.2 P&amp;L statement'!$B15,db[FY17])/1000000</f>
        <v>-7.3574899999999995E-3</v>
      </c>
      <c r="E15" s="34">
        <f>SUMIF(db[Mapping],'2.2 P&amp;L statement'!$B15,db[FY18])/1000000</f>
        <v>4.678542799999999E-2</v>
      </c>
      <c r="G15" s="39" t="str">
        <f t="shared" si="0"/>
        <v>&lt;-100.0%</v>
      </c>
      <c r="H15" s="39" t="str">
        <f t="shared" si="1"/>
        <v>&lt;-100.0%</v>
      </c>
    </row>
    <row r="16" spans="2:8" x14ac:dyDescent="0.2">
      <c r="B16" s="25" t="s">
        <v>67</v>
      </c>
      <c r="C16" s="34">
        <f>SUMIF(db[Mapping],'2.2 P&amp;L statement'!$B16,db[FY16])/1000000</f>
        <v>5.2683321979999995</v>
      </c>
      <c r="D16" s="34">
        <f>SUMIF(db[Mapping],'2.2 P&amp;L statement'!$B16,db[FY17])/1000000</f>
        <v>0.74482694999999999</v>
      </c>
      <c r="E16" s="34">
        <f>SUMIF(db[Mapping],'2.2 P&amp;L statement'!$B16,db[FY18])/1000000</f>
        <v>0</v>
      </c>
      <c r="G16" s="39">
        <f t="shared" si="0"/>
        <v>-0.85862187082986985</v>
      </c>
      <c r="H16" s="39">
        <f t="shared" si="1"/>
        <v>-1</v>
      </c>
    </row>
    <row r="17" spans="2:8" x14ac:dyDescent="0.2">
      <c r="B17" s="33" t="s">
        <v>241</v>
      </c>
      <c r="C17" s="36">
        <f>SUM(C9:C16)</f>
        <v>8.3032819960000026</v>
      </c>
      <c r="D17" s="36">
        <f t="shared" ref="D17:E17" si="4">SUM(D9:D16)</f>
        <v>4.2437563400000018</v>
      </c>
      <c r="E17" s="36">
        <f t="shared" si="4"/>
        <v>5.2904980409999993</v>
      </c>
      <c r="G17" s="41">
        <f t="shared" si="0"/>
        <v>-0.48890615276653548</v>
      </c>
      <c r="H17" s="41">
        <f t="shared" si="1"/>
        <v>0.24665452423217982</v>
      </c>
    </row>
    <row r="18" spans="2:8" x14ac:dyDescent="0.2">
      <c r="B18" s="25" t="s">
        <v>72</v>
      </c>
      <c r="C18" s="34">
        <f>SUMIF(db[Mapping],'2.2 P&amp;L statement'!$B18,db[FY16])/1000000</f>
        <v>-2.045243514</v>
      </c>
      <c r="D18" s="34">
        <f>SUMIF(db[Mapping],'2.2 P&amp;L statement'!$B18,db[FY17])/1000000</f>
        <v>-2.0440058150000002</v>
      </c>
      <c r="E18" s="34">
        <f>SUMIF(db[Mapping],'2.2 P&amp;L statement'!$B18,db[FY18])/1000000</f>
        <v>-1.8883615140000001</v>
      </c>
      <c r="G18" s="39">
        <f t="shared" si="0"/>
        <v>-6.0515972378227811E-4</v>
      </c>
      <c r="H18" s="39">
        <f t="shared" si="1"/>
        <v>-7.6146701666795491E-2</v>
      </c>
    </row>
    <row r="19" spans="2:8" x14ac:dyDescent="0.2">
      <c r="B19" s="32" t="s">
        <v>242</v>
      </c>
      <c r="C19" s="35">
        <f>SUM(C17:C18)</f>
        <v>6.2580384820000026</v>
      </c>
      <c r="D19" s="35">
        <f t="shared" ref="D19:E19" si="5">SUM(D17:D18)</f>
        <v>2.1997505250000016</v>
      </c>
      <c r="E19" s="35">
        <f t="shared" si="5"/>
        <v>3.4021365269999992</v>
      </c>
      <c r="G19" s="40">
        <f t="shared" si="0"/>
        <v>-0.64849201050342775</v>
      </c>
      <c r="H19" s="40">
        <f t="shared" si="1"/>
        <v>0.54660107513782585</v>
      </c>
    </row>
    <row r="20" spans="2:8" x14ac:dyDescent="0.2">
      <c r="B20" s="25" t="s">
        <v>231</v>
      </c>
      <c r="C20" s="34">
        <f>SUMIF(db[Mapping],'2.2 P&amp;L statement'!$B20,db[FY16])/1000000</f>
        <v>-2.8426923660000001</v>
      </c>
      <c r="D20" s="34">
        <f>SUMIF(db[Mapping],'2.2 P&amp;L statement'!$B20,db[FY17])/1000000</f>
        <v>-2.7107469200000001</v>
      </c>
      <c r="E20" s="34">
        <f>SUMIF(db[Mapping],'2.2 P&amp;L statement'!$B20,db[FY18])/1000000</f>
        <v>-2.250707829</v>
      </c>
      <c r="G20" s="39">
        <f t="shared" si="0"/>
        <v>-4.6415661285805099E-2</v>
      </c>
      <c r="H20" s="39">
        <f t="shared" si="1"/>
        <v>-0.16970934748862498</v>
      </c>
    </row>
    <row r="21" spans="2:8" x14ac:dyDescent="0.2">
      <c r="B21" s="25" t="s">
        <v>232</v>
      </c>
      <c r="C21" s="34">
        <f>SUMIF(db[Mapping],'2.2 P&amp;L statement'!$B21,db[FY16])/1000000</f>
        <v>-2.2762999999999999E-2</v>
      </c>
      <c r="D21" s="34">
        <f>SUMIF(db[Mapping],'2.2 P&amp;L statement'!$B21,db[FY17])/1000000</f>
        <v>-4.5786198000000002</v>
      </c>
      <c r="E21" s="34">
        <f>SUMIF(db[Mapping],'2.2 P&amp;L statement'!$B21,db[FY18])/1000000</f>
        <v>-7.1731959999999989E-3</v>
      </c>
      <c r="G21" s="39" t="str">
        <f t="shared" si="0"/>
        <v>&gt;100.0%</v>
      </c>
      <c r="H21" s="39">
        <f t="shared" si="1"/>
        <v>-0.99843332787754069</v>
      </c>
    </row>
    <row r="22" spans="2:8" x14ac:dyDescent="0.2">
      <c r="B22" s="32" t="s">
        <v>243</v>
      </c>
      <c r="C22" s="35">
        <f>SUM(C19:C21)</f>
        <v>3.3925831160000026</v>
      </c>
      <c r="D22" s="35">
        <f t="shared" ref="D22:E22" si="6">SUM(D19:D21)</f>
        <v>-5.0896161949999987</v>
      </c>
      <c r="E22" s="35">
        <f t="shared" si="6"/>
        <v>1.1442555019999991</v>
      </c>
      <c r="G22" s="40" t="str">
        <f t="shared" si="0"/>
        <v>&lt;-100.0%</v>
      </c>
      <c r="H22" s="40" t="str">
        <f t="shared" si="1"/>
        <v>&lt;-100.0%</v>
      </c>
    </row>
    <row r="23" spans="2:8" x14ac:dyDescent="0.2">
      <c r="B23" s="25" t="s">
        <v>233</v>
      </c>
      <c r="C23" s="34">
        <f>SUMIF(db[Mapping],'2.2 P&amp;L statement'!$B23,db[FY16])/1000000</f>
        <v>-0.48846512199999997</v>
      </c>
      <c r="D23" s="34">
        <f>SUMIF(db[Mapping],'2.2 P&amp;L statement'!$B23,db[FY17])/1000000</f>
        <v>-0.98419196500000017</v>
      </c>
      <c r="E23" s="34">
        <f>SUMIF(db[Mapping],'2.2 P&amp;L statement'!$B23,db[FY18])/1000000</f>
        <v>-0.36496502599999997</v>
      </c>
      <c r="G23" s="39" t="str">
        <f t="shared" si="0"/>
        <v>&gt;100.0%</v>
      </c>
      <c r="H23" s="39">
        <f t="shared" si="1"/>
        <v>-0.62917292664546398</v>
      </c>
    </row>
    <row r="24" spans="2:8" ht="12.75" thickBot="1" x14ac:dyDescent="0.25">
      <c r="B24" s="46" t="s">
        <v>234</v>
      </c>
      <c r="C24" s="37">
        <f>SUM(C22:C23)</f>
        <v>2.9041179940000026</v>
      </c>
      <c r="D24" s="37">
        <f t="shared" ref="D24:E24" si="7">SUM(D22:D23)</f>
        <v>-6.0738081599999987</v>
      </c>
      <c r="E24" s="37">
        <f t="shared" si="7"/>
        <v>0.77929047599999923</v>
      </c>
      <c r="G24" s="42" t="str">
        <f t="shared" si="0"/>
        <v>&lt;-100.0%</v>
      </c>
      <c r="H24" s="42" t="str">
        <f t="shared" si="1"/>
        <v>&lt;-100.0%</v>
      </c>
    </row>
    <row r="25" spans="2:8" ht="15" x14ac:dyDescent="0.25">
      <c r="E25" s="29"/>
    </row>
    <row r="26" spans="2:8" x14ac:dyDescent="0.2">
      <c r="B26" s="43" t="s">
        <v>247</v>
      </c>
      <c r="C26" s="44"/>
      <c r="D26" s="44"/>
      <c r="E26" s="44"/>
    </row>
    <row r="27" spans="2:8" x14ac:dyDescent="0.2">
      <c r="B27" s="43" t="s">
        <v>248</v>
      </c>
      <c r="C27" s="45">
        <f>C9/C$7</f>
        <v>0.80329281353949789</v>
      </c>
      <c r="D27" s="45">
        <f t="shared" ref="D27:E27" si="8">D9/D$7</f>
        <v>0.79014052477841912</v>
      </c>
      <c r="E27" s="45">
        <f t="shared" si="8"/>
        <v>0.78437246085651935</v>
      </c>
    </row>
    <row r="28" spans="2:8" x14ac:dyDescent="0.2">
      <c r="B28" s="43" t="s">
        <v>249</v>
      </c>
      <c r="C28" s="45">
        <f>C17/C$7</f>
        <v>0.36878477758296191</v>
      </c>
      <c r="D28" s="45">
        <f t="shared" ref="D28:E28" si="9">D17/D$7</f>
        <v>0.16301696811306118</v>
      </c>
      <c r="E28" s="45">
        <f t="shared" si="9"/>
        <v>0.20104802619916018</v>
      </c>
    </row>
    <row r="29" spans="2:8" x14ac:dyDescent="0.2">
      <c r="B29" s="43" t="s">
        <v>250</v>
      </c>
      <c r="C29" s="45">
        <f>C19/C$7</f>
        <v>0.2779466397506159</v>
      </c>
      <c r="D29" s="45">
        <f t="shared" ref="D29:E29" si="10">D19/D$7</f>
        <v>8.4499823378317393E-2</v>
      </c>
      <c r="E29" s="45">
        <f t="shared" si="10"/>
        <v>0.12928704033394345</v>
      </c>
    </row>
    <row r="30" spans="2:8" ht="15" x14ac:dyDescent="0.25">
      <c r="E30" s="29"/>
    </row>
    <row r="31" spans="2:8" ht="15" x14ac:dyDescent="0.25">
      <c r="E31" s="29"/>
    </row>
    <row r="32" spans="2:8" ht="15" x14ac:dyDescent="0.25">
      <c r="E32" s="29"/>
    </row>
    <row r="33" spans="5:5" ht="15" x14ac:dyDescent="0.25">
      <c r="E33" s="29"/>
    </row>
    <row r="34" spans="5:5" ht="15" x14ac:dyDescent="0.25">
      <c r="E34" s="29"/>
    </row>
    <row r="35" spans="5:5" ht="15" x14ac:dyDescent="0.25">
      <c r="E35" s="29"/>
    </row>
    <row r="36" spans="5:5" ht="15" x14ac:dyDescent="0.25">
      <c r="E36" s="29"/>
    </row>
    <row r="37" spans="5:5" ht="15" x14ac:dyDescent="0.25">
      <c r="E37" s="29"/>
    </row>
    <row r="38" spans="5:5" ht="15" x14ac:dyDescent="0.25">
      <c r="E38" s="29"/>
    </row>
    <row r="39" spans="5:5" ht="15" x14ac:dyDescent="0.25">
      <c r="E39" s="29"/>
    </row>
    <row r="40" spans="5:5" ht="15" x14ac:dyDescent="0.25">
      <c r="E40" s="29"/>
    </row>
    <row r="41" spans="5:5" ht="15" x14ac:dyDescent="0.25">
      <c r="E41" s="29"/>
    </row>
    <row r="42" spans="5:5" ht="15" x14ac:dyDescent="0.25">
      <c r="E42" s="29"/>
    </row>
    <row r="43" spans="5:5" ht="15" x14ac:dyDescent="0.25">
      <c r="E43" s="29"/>
    </row>
    <row r="44" spans="5:5" ht="15" x14ac:dyDescent="0.25">
      <c r="E44" s="29"/>
    </row>
    <row r="45" spans="5:5" ht="15" x14ac:dyDescent="0.25">
      <c r="E45" s="29"/>
    </row>
    <row r="46" spans="5:5" ht="15" x14ac:dyDescent="0.25">
      <c r="E46" s="29"/>
    </row>
    <row r="47" spans="5:5" ht="15" x14ac:dyDescent="0.25">
      <c r="E47" s="29"/>
    </row>
    <row r="48" spans="5:5" ht="15" x14ac:dyDescent="0.25">
      <c r="E48" s="29"/>
    </row>
    <row r="49" spans="5:5" ht="15" x14ac:dyDescent="0.25">
      <c r="E49" s="29"/>
    </row>
    <row r="50" spans="5:5" ht="15" x14ac:dyDescent="0.25">
      <c r="E50" s="29"/>
    </row>
    <row r="51" spans="5:5" ht="15" x14ac:dyDescent="0.25">
      <c r="E51" s="29"/>
    </row>
    <row r="52" spans="5:5" ht="15" x14ac:dyDescent="0.25">
      <c r="E52" s="29"/>
    </row>
    <row r="53" spans="5:5" ht="15" x14ac:dyDescent="0.25">
      <c r="E53" s="29"/>
    </row>
    <row r="54" spans="5:5" ht="15" x14ac:dyDescent="0.25">
      <c r="E54" s="29"/>
    </row>
    <row r="55" spans="5:5" ht="15" x14ac:dyDescent="0.25">
      <c r="E55" s="29"/>
    </row>
    <row r="56" spans="5:5" ht="15" x14ac:dyDescent="0.25">
      <c r="E56" s="29"/>
    </row>
    <row r="57" spans="5:5" ht="15" x14ac:dyDescent="0.25">
      <c r="E57" s="29"/>
    </row>
    <row r="58" spans="5:5" ht="15" x14ac:dyDescent="0.25">
      <c r="E58" s="29"/>
    </row>
    <row r="59" spans="5:5" ht="15" x14ac:dyDescent="0.25">
      <c r="E59" s="29"/>
    </row>
    <row r="60" spans="5:5" ht="15" x14ac:dyDescent="0.25">
      <c r="E60" s="29"/>
    </row>
    <row r="61" spans="5:5" ht="15" x14ac:dyDescent="0.25">
      <c r="E61" s="29"/>
    </row>
    <row r="62" spans="5:5" ht="15" x14ac:dyDescent="0.25">
      <c r="E62" s="29"/>
    </row>
    <row r="63" spans="5:5" ht="15" x14ac:dyDescent="0.25">
      <c r="E63" s="29"/>
    </row>
    <row r="64" spans="5:5" ht="15" x14ac:dyDescent="0.25">
      <c r="E64" s="29"/>
    </row>
    <row r="65" spans="5:5" ht="15" x14ac:dyDescent="0.25">
      <c r="E65" s="29"/>
    </row>
    <row r="66" spans="5:5" ht="15" x14ac:dyDescent="0.25">
      <c r="E66" s="29"/>
    </row>
    <row r="67" spans="5:5" ht="15" x14ac:dyDescent="0.25">
      <c r="E67" s="29"/>
    </row>
    <row r="68" spans="5:5" ht="15" x14ac:dyDescent="0.25">
      <c r="E68" s="29"/>
    </row>
    <row r="69" spans="5:5" ht="15" x14ac:dyDescent="0.25">
      <c r="E69" s="29"/>
    </row>
    <row r="70" spans="5:5" ht="15" x14ac:dyDescent="0.25">
      <c r="E70" s="29"/>
    </row>
    <row r="71" spans="5:5" ht="15" x14ac:dyDescent="0.25">
      <c r="E71" s="29"/>
    </row>
    <row r="72" spans="5:5" ht="15" x14ac:dyDescent="0.25">
      <c r="E72" s="29"/>
    </row>
    <row r="73" spans="5:5" ht="15" x14ac:dyDescent="0.25">
      <c r="E73" s="29"/>
    </row>
    <row r="74" spans="5:5" ht="15" x14ac:dyDescent="0.25">
      <c r="E74" s="29"/>
    </row>
    <row r="75" spans="5:5" ht="15" x14ac:dyDescent="0.25">
      <c r="E75" s="29"/>
    </row>
    <row r="76" spans="5:5" ht="15" x14ac:dyDescent="0.25">
      <c r="E76" s="29"/>
    </row>
    <row r="77" spans="5:5" ht="15" x14ac:dyDescent="0.25">
      <c r="E77" s="29"/>
    </row>
    <row r="78" spans="5:5" ht="15" x14ac:dyDescent="0.25">
      <c r="E78" s="29"/>
    </row>
    <row r="79" spans="5:5" ht="15" x14ac:dyDescent="0.25">
      <c r="E79" s="29"/>
    </row>
    <row r="80" spans="5:5" ht="15" x14ac:dyDescent="0.25">
      <c r="E80" s="29"/>
    </row>
    <row r="81" spans="5:5" ht="15" x14ac:dyDescent="0.25">
      <c r="E81" s="29"/>
    </row>
    <row r="82" spans="5:5" ht="15" x14ac:dyDescent="0.25">
      <c r="E82" s="29"/>
    </row>
    <row r="83" spans="5:5" ht="15" x14ac:dyDescent="0.25">
      <c r="E83" s="29"/>
    </row>
    <row r="84" spans="5:5" ht="15" x14ac:dyDescent="0.25">
      <c r="E84" s="29"/>
    </row>
    <row r="85" spans="5:5" ht="15" x14ac:dyDescent="0.25">
      <c r="E85" s="29"/>
    </row>
    <row r="86" spans="5:5" ht="15" x14ac:dyDescent="0.25">
      <c r="E86" s="29"/>
    </row>
    <row r="87" spans="5:5" ht="15" x14ac:dyDescent="0.25">
      <c r="E87" s="29"/>
    </row>
    <row r="88" spans="5:5" ht="15" x14ac:dyDescent="0.25">
      <c r="E88" s="29"/>
    </row>
    <row r="89" spans="5:5" ht="15" x14ac:dyDescent="0.25">
      <c r="E89" s="29"/>
    </row>
    <row r="90" spans="5:5" ht="15" x14ac:dyDescent="0.25">
      <c r="E90" s="29"/>
    </row>
    <row r="91" spans="5:5" ht="15" x14ac:dyDescent="0.25">
      <c r="E91" s="29"/>
    </row>
    <row r="92" spans="5:5" ht="15" x14ac:dyDescent="0.25">
      <c r="E92" s="29"/>
    </row>
    <row r="93" spans="5:5" ht="15" x14ac:dyDescent="0.25">
      <c r="E93" s="29"/>
    </row>
    <row r="94" spans="5:5" ht="15" x14ac:dyDescent="0.25">
      <c r="E94" s="29"/>
    </row>
    <row r="95" spans="5:5" ht="15" x14ac:dyDescent="0.25">
      <c r="E95" s="29"/>
    </row>
    <row r="96" spans="5:5" ht="15" x14ac:dyDescent="0.25">
      <c r="E96" s="29"/>
    </row>
    <row r="97" spans="5:5" ht="15" x14ac:dyDescent="0.25">
      <c r="E97" s="29"/>
    </row>
    <row r="98" spans="5:5" ht="15" x14ac:dyDescent="0.25">
      <c r="E98" s="29"/>
    </row>
    <row r="99" spans="5:5" ht="15" x14ac:dyDescent="0.25">
      <c r="E99" s="29"/>
    </row>
    <row r="100" spans="5:5" ht="15" x14ac:dyDescent="0.25">
      <c r="E100" s="29"/>
    </row>
    <row r="101" spans="5:5" ht="15" x14ac:dyDescent="0.25">
      <c r="E101" s="29"/>
    </row>
    <row r="102" spans="5:5" ht="15" x14ac:dyDescent="0.25">
      <c r="E102" s="29"/>
    </row>
    <row r="103" spans="5:5" ht="15" x14ac:dyDescent="0.25">
      <c r="E103" s="29"/>
    </row>
    <row r="104" spans="5:5" ht="15" x14ac:dyDescent="0.25">
      <c r="E104" s="29"/>
    </row>
    <row r="105" spans="5:5" ht="15" x14ac:dyDescent="0.25">
      <c r="E105" s="29"/>
    </row>
    <row r="106" spans="5:5" ht="15" x14ac:dyDescent="0.25">
      <c r="E106" s="29"/>
    </row>
    <row r="107" spans="5:5" ht="15" x14ac:dyDescent="0.25">
      <c r="E107" s="29"/>
    </row>
    <row r="108" spans="5:5" ht="15" x14ac:dyDescent="0.25">
      <c r="E108" s="29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2"/>
  <sheetViews>
    <sheetView showGridLines="0" workbookViewId="0"/>
  </sheetViews>
  <sheetFormatPr defaultRowHeight="12" x14ac:dyDescent="0.2"/>
  <cols>
    <col min="1" max="1" width="2" style="25" customWidth="1"/>
    <col min="2" max="16384" width="9.140625" style="25"/>
  </cols>
  <sheetData>
    <row r="1" spans="2:2" ht="15.75" x14ac:dyDescent="0.25">
      <c r="B1" s="24"/>
    </row>
    <row r="12" spans="2:2" ht="40.5" x14ac:dyDescent="0.55000000000000004">
      <c r="B12" s="4" t="s">
        <v>264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E7"/>
  <sheetViews>
    <sheetView showGridLines="0" workbookViewId="0"/>
  </sheetViews>
  <sheetFormatPr defaultRowHeight="12" x14ac:dyDescent="0.2"/>
  <cols>
    <col min="1" max="1" width="2" style="25" customWidth="1"/>
    <col min="2" max="2" width="22.85546875" style="25" bestFit="1" customWidth="1"/>
    <col min="3" max="16384" width="9.140625" style="25"/>
  </cols>
  <sheetData>
    <row r="1" spans="2:5" ht="15.75" x14ac:dyDescent="0.25">
      <c r="B1" s="24" t="s">
        <v>251</v>
      </c>
    </row>
    <row r="3" spans="2:5" ht="12.75" thickBot="1" x14ac:dyDescent="0.25">
      <c r="C3" s="31" t="s">
        <v>223</v>
      </c>
      <c r="D3" s="31" t="s">
        <v>221</v>
      </c>
      <c r="E3" s="31" t="s">
        <v>222</v>
      </c>
    </row>
    <row r="4" spans="2:5" x14ac:dyDescent="0.2">
      <c r="B4" s="25" t="s">
        <v>224</v>
      </c>
      <c r="C4" s="34">
        <f>'2.2 P&amp;L statement'!C4</f>
        <v>14.500341000000001</v>
      </c>
      <c r="D4" s="34">
        <f>'2.2 P&amp;L statement'!D4</f>
        <v>16.148295364999999</v>
      </c>
      <c r="E4" s="34">
        <f>'2.2 P&amp;L statement'!E4</f>
        <v>15.047803019</v>
      </c>
    </row>
    <row r="5" spans="2:5" x14ac:dyDescent="0.2">
      <c r="B5" s="25" t="s">
        <v>66</v>
      </c>
      <c r="C5" s="34">
        <f>'2.2 P&amp;L statement'!C5</f>
        <v>4.7948561920000001</v>
      </c>
      <c r="D5" s="34">
        <f>'2.2 P&amp;L statement'!D5</f>
        <v>6.9602176449999993</v>
      </c>
      <c r="E5" s="34">
        <f>'2.2 P&amp;L statement'!E5</f>
        <v>6.3736175140000002</v>
      </c>
    </row>
    <row r="6" spans="2:5" x14ac:dyDescent="0.2">
      <c r="B6" s="25" t="s">
        <v>225</v>
      </c>
      <c r="C6" s="34">
        <f>'2.2 P&amp;L statement'!C6</f>
        <v>3.2200542519999997</v>
      </c>
      <c r="D6" s="34">
        <f>'2.2 P&amp;L statement'!D6</f>
        <v>2.9240919949999999</v>
      </c>
      <c r="E6" s="34">
        <f>'2.2 P&amp;L statement'!E6</f>
        <v>4.8931777299999997</v>
      </c>
    </row>
    <row r="7" spans="2:5" x14ac:dyDescent="0.2">
      <c r="B7" s="25" t="s">
        <v>252</v>
      </c>
      <c r="C7" s="49">
        <f>'2.2 P&amp;L statement'!C27</f>
        <v>0.80329281353949789</v>
      </c>
      <c r="D7" s="49">
        <f>'2.2 P&amp;L statement'!D27</f>
        <v>0.79014052477841912</v>
      </c>
      <c r="E7" s="49">
        <f>'2.2 P&amp;L statement'!E27</f>
        <v>0.78437246085651935</v>
      </c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6"/>
  <sheetViews>
    <sheetView showGridLines="0" zoomScale="120" zoomScaleNormal="120" workbookViewId="0"/>
  </sheetViews>
  <sheetFormatPr defaultRowHeight="12" x14ac:dyDescent="0.2"/>
  <cols>
    <col min="1" max="1" width="2" style="25" customWidth="1"/>
    <col min="2" max="2" width="17.140625" style="25" bestFit="1" customWidth="1"/>
    <col min="3" max="16384" width="9.140625" style="25"/>
  </cols>
  <sheetData>
    <row r="1" spans="2:5" ht="15.75" x14ac:dyDescent="0.25">
      <c r="B1" s="24" t="s">
        <v>253</v>
      </c>
    </row>
    <row r="3" spans="2:5" ht="12.75" thickBot="1" x14ac:dyDescent="0.25">
      <c r="C3" s="31" t="s">
        <v>223</v>
      </c>
      <c r="D3" s="31" t="s">
        <v>221</v>
      </c>
      <c r="E3" s="31" t="s">
        <v>222</v>
      </c>
    </row>
    <row r="4" spans="2:5" x14ac:dyDescent="0.2">
      <c r="B4" s="25" t="s">
        <v>224</v>
      </c>
      <c r="C4" s="34">
        <f>'2.2 P&amp;L statement'!C4</f>
        <v>14.500341000000001</v>
      </c>
      <c r="D4" s="34">
        <f>'2.2 P&amp;L statement'!D4</f>
        <v>16.148295364999999</v>
      </c>
      <c r="E4" s="34">
        <f>'2.2 P&amp;L statement'!E4</f>
        <v>15.047803019</v>
      </c>
    </row>
    <row r="5" spans="2:5" x14ac:dyDescent="0.2">
      <c r="B5" s="25" t="s">
        <v>66</v>
      </c>
      <c r="C5" s="34">
        <f>'2.2 P&amp;L statement'!C5</f>
        <v>4.7948561920000001</v>
      </c>
      <c r="D5" s="34">
        <f>'2.2 P&amp;L statement'!D5</f>
        <v>6.9602176449999993</v>
      </c>
      <c r="E5" s="34">
        <f>'2.2 P&amp;L statement'!E5</f>
        <v>6.3736175140000002</v>
      </c>
    </row>
    <row r="6" spans="2:5" x14ac:dyDescent="0.2">
      <c r="B6" s="25" t="s">
        <v>225</v>
      </c>
      <c r="C6" s="34">
        <f>'2.2 P&amp;L statement'!C6</f>
        <v>3.2200542519999997</v>
      </c>
      <c r="D6" s="34">
        <f>'2.2 P&amp;L statement'!D6</f>
        <v>2.9240919949999999</v>
      </c>
      <c r="E6" s="34">
        <f>'2.2 P&amp;L statement'!E6</f>
        <v>4.8931777299999997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5"/>
  <sheetViews>
    <sheetView showGridLines="0" zoomScale="120" zoomScaleNormal="120" workbookViewId="0"/>
  </sheetViews>
  <sheetFormatPr defaultRowHeight="12" x14ac:dyDescent="0.2"/>
  <cols>
    <col min="1" max="1" width="2" style="25" customWidth="1"/>
    <col min="2" max="2" width="13.7109375" style="25" bestFit="1" customWidth="1"/>
    <col min="3" max="16384" width="9.140625" style="25"/>
  </cols>
  <sheetData>
    <row r="1" spans="2:5" ht="15.75" x14ac:dyDescent="0.25">
      <c r="B1" s="24" t="s">
        <v>254</v>
      </c>
    </row>
    <row r="3" spans="2:5" x14ac:dyDescent="0.2">
      <c r="C3" s="47" t="s">
        <v>223</v>
      </c>
      <c r="D3" s="47" t="s">
        <v>221</v>
      </c>
      <c r="E3" s="47" t="s">
        <v>222</v>
      </c>
    </row>
    <row r="4" spans="2:5" x14ac:dyDescent="0.2">
      <c r="B4" s="25" t="s">
        <v>255</v>
      </c>
      <c r="C4" s="48">
        <v>22.515251444</v>
      </c>
      <c r="D4" s="48">
        <v>26.032605005000001</v>
      </c>
      <c r="E4" s="48">
        <v>26.314598263000001</v>
      </c>
    </row>
    <row r="5" spans="2:5" x14ac:dyDescent="0.2">
      <c r="B5" s="25" t="s">
        <v>252</v>
      </c>
      <c r="C5" s="49">
        <f>'2.2 P&amp;L statement'!C27</f>
        <v>0.80329281353949789</v>
      </c>
      <c r="D5" s="49">
        <f>'2.2 P&amp;L statement'!D27</f>
        <v>0.79014052477841912</v>
      </c>
      <c r="E5" s="49">
        <f>'2.2 P&amp;L statement'!E27</f>
        <v>0.78437246085651935</v>
      </c>
    </row>
  </sheetData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:E9"/>
  <sheetViews>
    <sheetView showGridLines="0" zoomScaleNormal="100" workbookViewId="0"/>
  </sheetViews>
  <sheetFormatPr defaultRowHeight="12" x14ac:dyDescent="0.2"/>
  <cols>
    <col min="1" max="1" width="2" style="25" customWidth="1"/>
    <col min="2" max="2" width="22.42578125" style="25" bestFit="1" customWidth="1"/>
    <col min="3" max="16384" width="9.140625" style="25"/>
  </cols>
  <sheetData>
    <row r="1" spans="2:5" ht="15.75" x14ac:dyDescent="0.25">
      <c r="B1" s="24" t="s">
        <v>256</v>
      </c>
    </row>
    <row r="3" spans="2:5" x14ac:dyDescent="0.2">
      <c r="B3" s="25" t="s">
        <v>257</v>
      </c>
      <c r="C3" s="34">
        <f>'2.2 P&amp;L statement'!D17</f>
        <v>4.2437563400000018</v>
      </c>
    </row>
    <row r="4" spans="2:5" x14ac:dyDescent="0.2">
      <c r="B4" s="25" t="s">
        <v>258</v>
      </c>
      <c r="C4" s="34">
        <f>'2.2 P&amp;L statement'!E7-'2.2 P&amp;L statement'!D7</f>
        <v>0.28199325799999997</v>
      </c>
    </row>
    <row r="5" spans="2:5" x14ac:dyDescent="0.2">
      <c r="B5" s="25" t="s">
        <v>259</v>
      </c>
      <c r="C5" s="34">
        <f>'2.2 P&amp;L statement'!E8-'2.2 P&amp;L statement'!D8</f>
        <v>-0.21096324199999916</v>
      </c>
    </row>
    <row r="6" spans="2:5" x14ac:dyDescent="0.2">
      <c r="B6" s="25" t="s">
        <v>260</v>
      </c>
      <c r="C6" s="34">
        <f>SUM('2.2 P&amp;L statement'!E10:E16)-SUM('2.2 P&amp;L statement'!D10:D16)</f>
        <v>0.97571168500000027</v>
      </c>
    </row>
    <row r="7" spans="2:5" x14ac:dyDescent="0.2">
      <c r="B7" s="25" t="s">
        <v>261</v>
      </c>
      <c r="C7" s="34">
        <f>'2.2 P&amp;L statement'!E17</f>
        <v>5.2904980409999993</v>
      </c>
      <c r="E7" s="2"/>
    </row>
    <row r="8" spans="2:5" x14ac:dyDescent="0.2">
      <c r="C8" s="34"/>
    </row>
    <row r="9" spans="2:5" x14ac:dyDescent="0.2">
      <c r="B9" s="50" t="s">
        <v>262</v>
      </c>
      <c r="C9" s="51">
        <f>SUM(C3:C6)-C7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Categories</vt:lpstr>
      <vt:lpstr>2.2 P&amp;L statement</vt:lpstr>
      <vt:lpstr>3. Charts</vt:lpstr>
      <vt:lpstr>Stacked column</vt:lpstr>
      <vt:lpstr>Dougnut chart</vt:lpstr>
      <vt:lpstr>Area chart</vt:lpstr>
      <vt:lpstr>Bridge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2025-06-18T13:29:31Z</dcterms:modified>
</cp:coreProperties>
</file>